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Educacion\Downloads\"/>
    </mc:Choice>
  </mc:AlternateContent>
  <xr:revisionPtr revIDLastSave="0" documentId="13_ncr:1_{A8368252-3D54-40C0-A3A8-8D72E40E0E79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Resumen" sheetId="1" r:id="rId1"/>
    <sheet name="Criterios" sheetId="2" r:id="rId2"/>
    <sheet name="Matriz de progresión" sheetId="3" r:id="rId3"/>
    <sheet name="Cronograma General" sheetId="4" r:id="rId4"/>
    <sheet name="Sala 3" sheetId="5" r:id="rId5"/>
    <sheet name="Sala 4" sheetId="6" r:id="rId6"/>
    <sheet name="Sala 5" sheetId="7" r:id="rId7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H16" i="1" s="1"/>
  <c r="G15" i="1"/>
  <c r="F15" i="1"/>
  <c r="E15" i="1"/>
  <c r="H15" i="1" s="1"/>
  <c r="G14" i="1"/>
  <c r="F14" i="1"/>
  <c r="E14" i="1"/>
  <c r="H14" i="1" s="1"/>
  <c r="G13" i="1"/>
  <c r="F13" i="1"/>
  <c r="E13" i="1"/>
  <c r="H13" i="1" s="1"/>
</calcChain>
</file>

<file path=xl/sharedStrings.xml><?xml version="1.0" encoding="utf-8"?>
<sst xmlns="http://schemas.openxmlformats.org/spreadsheetml/2006/main" count="2917" uniqueCount="835">
  <si>
    <t>Catamarca Aprende+ | Cronograma de Matemática y Geometría - Nivel Inicial</t>
  </si>
  <si>
    <t>Área</t>
  </si>
  <si>
    <t>Matemática y Geometría</t>
  </si>
  <si>
    <t>Indicadores del cronograma</t>
  </si>
  <si>
    <t>Sala 3</t>
  </si>
  <si>
    <t>Sala 4</t>
  </si>
  <si>
    <t>Sala 5</t>
  </si>
  <si>
    <t>Total</t>
  </si>
  <si>
    <t>Nivel</t>
  </si>
  <si>
    <t>Inicial - Jardín de Infantes</t>
  </si>
  <si>
    <t>Semanas calendario</t>
  </si>
  <si>
    <t>Salas</t>
  </si>
  <si>
    <t>3, 4 y 5 años</t>
  </si>
  <si>
    <t>Semanas con clase</t>
  </si>
  <si>
    <t>Período</t>
  </si>
  <si>
    <t>Primera semana de marzo a primera semana de diciembre</t>
  </si>
  <si>
    <t>Semanas de receso</t>
  </si>
  <si>
    <t>Receso</t>
  </si>
  <si>
    <t>Segunda y tercera semana de julio</t>
  </si>
  <si>
    <t>Ejes curriculares abordados</t>
  </si>
  <si>
    <t>Número; Espacio; Formas</t>
  </si>
  <si>
    <t>Número; Espacio; Formas; Medida</t>
  </si>
  <si>
    <t>Progresión 3-5</t>
  </si>
  <si>
    <t>Estructura</t>
  </si>
  <si>
    <t>Secuencias semanales para Moodle con 4 momentos PACCC adaptados</t>
  </si>
  <si>
    <t>Formato Moodle</t>
  </si>
  <si>
    <t>4 momentos</t>
  </si>
  <si>
    <t>PACCC adaptado</t>
  </si>
  <si>
    <t>Archivo base</t>
  </si>
  <si>
    <t>Diseño Curricular Inicial</t>
  </si>
  <si>
    <t>Catamarca 2016</t>
  </si>
  <si>
    <t>Págs. 87-98</t>
  </si>
  <si>
    <t>Criterio general de construcción</t>
  </si>
  <si>
    <t>El cronograma fue construido como una traducción operativa del Diseño Curricular de Educación Inicial de Catamarca para el área Matemática y Geometría. Respeta la progresión de contenidos por sala: en Sala de 3 se priorizan pequeñas cantidades, posiciones, desplazamientos y exploración inicial de formas; en Sala de 4 se amplían comparación, ordinalidad, portadores numéricos, recorridos, figuras/cuerpos y primeras experiencias de medida; en Sala de 5 se profundiza conteo hasta 30, lectura/escritura de números en contexto, representaciones espaciales, geometría con vocabulario específico y medida/tiempo en situaciones de uso social. La propuesta evita primarizar el nivel y se organiza desde el juego, la resolución de problemas, la exploración, la oralidad matemática, el registro de evidencias y la producción compartida.</t>
  </si>
  <si>
    <t>Fórmulas de control</t>
  </si>
  <si>
    <t>Filas de clase</t>
  </si>
  <si>
    <t>Filas de receso</t>
  </si>
  <si>
    <t>Número</t>
  </si>
  <si>
    <t>Medida</t>
  </si>
  <si>
    <t>Criterios curriculares y pedagógicos utilizados</t>
  </si>
  <si>
    <t>Dimensión</t>
  </si>
  <si>
    <t>Criterio aplicado</t>
  </si>
  <si>
    <t>Correspondencia con el diseño</t>
  </si>
  <si>
    <t>Implicancia para Moodle</t>
  </si>
  <si>
    <t>Observaciones</t>
  </si>
  <si>
    <t>Fuente</t>
  </si>
  <si>
    <t>Se utiliza la denominación Matemática y Geometría para Jardín de Infantes.</t>
  </si>
  <si>
    <t>El índice del diseño ubica el área Matemática dentro de Jardín de Infantes y desarrolla propósitos, contenidos, orientaciones y evaluación.</t>
  </si>
  <si>
    <t>La plataforma debe organizar aulas o secciones por área y sala, no como asignatura primarizada.</t>
  </si>
  <si>
    <t>Se sugiere mantener articulación con ambiente, juego y lenguaje.</t>
  </si>
  <si>
    <t>Diseño Curricular Educación Inicial Catamarca, 2016, págs. 87-98</t>
  </si>
  <si>
    <t>Enfoque</t>
  </si>
  <si>
    <t>La matemática se enseña mediante resolución de problemas, juego, exploración y socialización de procedimientos.</t>
  </si>
  <si>
    <t>El diseño plantea que hacer matemática significa resolver problemas y que el juego debe provocar desafíos.</t>
  </si>
  <si>
    <t>Cada semana incluye activación, recurso, práctica lúdica y producción/evidencia.</t>
  </si>
  <si>
    <t>Evitar fichas mecánicas descontextualizadas como eje principal.</t>
  </si>
  <si>
    <t>Diseño Curricular Educación Inicial Catamarca, 2016, págs. 88, 94-96</t>
  </si>
  <si>
    <t>Sala de 3</t>
  </si>
  <si>
    <t>Recorte centrado en pequeñas cantidades, conteo progresivo, posiciones/desplazamientos y exploración de formas.</t>
  </si>
  <si>
    <t>Coincide con los ejes Número, Espacio y Formas Geométricas para sala de 3.</t>
  </si>
  <si>
    <t>Actividades cortas, visuales, manipulativas y corporales.</t>
  </si>
  <si>
    <t>No se incorpora medida como eje formal porque no aparece como contenido propio de sala de 3.</t>
  </si>
  <si>
    <t>Diseño Curricular Educación Inicial Catamarca, 2016, pág. 89</t>
  </si>
  <si>
    <t>Sala de 4</t>
  </si>
  <si>
    <t>Se amplía comparación de colecciones, ordinalidad, transformación de colecciones, portadores numéricos, espacio, formas y medida.</t>
  </si>
  <si>
    <t>Coincide con los contenidos de sala de 4: igualdad/desigualdad, serie hasta 4, ordinalidad, portadores, recorridos, figuras/cuerpos y medida.</t>
  </si>
  <si>
    <t>Secuencias con juegos reglados, rompecabezas, registros simples y experiencias de medida.</t>
  </si>
  <si>
    <t>El uso de calendarios y bandas numéricas aparece como portador de sentido, no como copia aislada.</t>
  </si>
  <si>
    <t>Diseño Curricular Educación Inicial Catamarca, 2016, págs. 90-91</t>
  </si>
  <si>
    <t>Sala de 5</t>
  </si>
  <si>
    <t>Se profundiza conteo hasta 30, sobreconteo, comparación, cálculo en situaciones, escritura de números, espacio, geometría y medida/tiempo.</t>
  </si>
  <si>
    <t>Coincide con los contenidos de sala de 5: sucesión hasta 30, números de más de una cifra, mensajes espaciales, códigos, figuras, cuerpos y medición del tiempo.</t>
  </si>
  <si>
    <t>Se incorpora mayor complejidad en registros, producción de mensajes, mapas, códigos y evidencias.</t>
  </si>
  <si>
    <t>La producción final no exige formalización escolar primaria, sino comunicación y registro de procedimientos.</t>
  </si>
  <si>
    <t>Diseño Curricular Educación Inicial Catamarca, 2016, págs. 91-94</t>
  </si>
  <si>
    <t>Evaluación</t>
  </si>
  <si>
    <t>La evaluación se propone como observación permanente del desempeño en juegos, actividades y búsquedas.</t>
  </si>
  <si>
    <t>El diseño indica registrar métodos usados, formas de conteo, resolución, comunicación espacial, figuras y medida.</t>
  </si>
  <si>
    <t>Moodle registra evidencias, audios, fotos y producciones, pero la valoración pedagógica principal es docente.</t>
  </si>
  <si>
    <t>Priorizar registros anecdóticos, observación directa y cuadros de seguimiento.</t>
  </si>
  <si>
    <t>Diseño Curricular Educación Inicial Catamarca, 2016, págs. 96-98</t>
  </si>
  <si>
    <t>Matriz de progresión curricular | Matemática y Geometría - Nivel Inicial</t>
  </si>
  <si>
    <t>Eje</t>
  </si>
  <si>
    <t>Sala de 3 años</t>
  </si>
  <si>
    <t>Sala de 4 años</t>
  </si>
  <si>
    <t>Sala de 5 años</t>
  </si>
  <si>
    <t>Criterio de progresión</t>
  </si>
  <si>
    <t>Número: usos y funciones</t>
  </si>
  <si>
    <t>Pequeñas cantidades; cuantificación por percepción o conteo; agregar, quitar, juntar, unir, completar, partir y repartir en problemas sencillos.</t>
  </si>
  <si>
    <t>Comparación de colecciones por igualdad/desigualdad; ordinalidad hasta 4; transformación de colecciones; recitado progresivo; portadores numéricos.</t>
  </si>
  <si>
    <t>Serie ordenada hasta 10; conteo y sobreconteo; recitado hasta 30; comparación, cálculo, escritura de números y orden de números de más de una cifra en contextos variados.</t>
  </si>
  <si>
    <t>De la percepción global y conteo inicial hacia procedimientos de comparación, anticipación, registro y uso social del número.</t>
  </si>
  <si>
    <t>Espacio</t>
  </si>
  <si>
    <t>Ubicación y desplazamientos en espacios familiares; arriba/abajo, adelante/atrás, hacia un lado/otro, dentro/fuera, abierto/cerrado; recorridos simples.</t>
  </si>
  <si>
    <t>Comunicación de ubicación propia, de objetos y personas en espacios de diferentes dimensiones; cerca/lejos, junto a, adelante/atrás; recorridos.</t>
  </si>
  <si>
    <t>Interpretar y producir mensajes de posiciones; dibujos, esquemas, códigos y gráficos para comunicar posiciones y desplazamientos; vocabulario específico.</t>
  </si>
  <si>
    <t>De la acción corporal y oralidad situada hacia la representación gráfica y codificada de posiciones y recorridos.</t>
  </si>
  <si>
    <t>Formas geométricas</t>
  </si>
  <si>
    <t>Exploración y observación de figuras y cuerpos en problemas sencillos.</t>
  </si>
  <si>
    <t>Características de cuerpos y figuras; reconocimiento de figuras y cuerpos; figuras según su forma; rompecabezas de tres y más cortes.</t>
  </si>
  <si>
    <t>Círculo, cuadrado, triángulo y rectángulo; cuerpos y figuras en objetos; caras, lados, formas, vértices; representación 2D/3D; rompecabezas de cuatro cortes y más.</t>
  </si>
  <si>
    <t>De explorar semejanzas de forma hacia describir, clasificar, representar y comunicar características geométricas.</t>
  </si>
  <si>
    <t>No aparece como eje formal propio de sala de 3; se habilitan comparaciones perceptivas dentro de juegos cotidianos sin formalización.</t>
  </si>
  <si>
    <t>Exploración de elementos convencionales y no convencionales para medir longitud, peso y capacidad; estimación y comparación.</t>
  </si>
  <si>
    <t>Comparación visual, manual y por superposición; estimación y medición; longitud, capacidad, peso y tiempo con calendarios, relojes y registros.</t>
  </si>
  <si>
    <t>De experiencias perceptivas y exploratorias hacia el uso intencional de instrumentos y registros de medida en contextos sociales.</t>
  </si>
  <si>
    <t>Evaluación/evidencias</t>
  </si>
  <si>
    <t>Observación de conteo, participación en juegos, uso de referencias espaciales y exploración de formas.</t>
  </si>
  <si>
    <t>Registro de comparación de colecciones, procedimientos en juegos, comunicación de recorridos, clasificación de formas y experiencias de medida.</t>
  </si>
  <si>
    <t>Registro de conteo, lectura/escritura de números, procedimientos, mensajes espaciales, representaciones, geometría y medidas.</t>
  </si>
  <si>
    <t>La evaluación acompaña el proceso; se registra cómo resuelven, explican, corrigen, ensayan y comunican.</t>
  </si>
  <si>
    <t>Cronograma General | Catamarca Aprende+ | Matemática y Geometría</t>
  </si>
  <si>
    <t>Sala</t>
  </si>
  <si>
    <t>Semana calendario</t>
  </si>
  <si>
    <t>Mes</t>
  </si>
  <si>
    <t>Semana del mes</t>
  </si>
  <si>
    <t>Semana lectiva</t>
  </si>
  <si>
    <t>Estado</t>
  </si>
  <si>
    <t>Eje temático</t>
  </si>
  <si>
    <t>Contenido / recorte curricular semanal</t>
  </si>
  <si>
    <t>Momento 1 - Personaliza / Activación</t>
  </si>
  <si>
    <t>Momento 2 - Aprende / Recurso central</t>
  </si>
  <si>
    <t>Momento 3 - Crea / Práctica guiada</t>
  </si>
  <si>
    <t>Momento 4 - Comparte / Producción</t>
  </si>
  <si>
    <t>Observaciones para Moodle</t>
  </si>
  <si>
    <t>Nivel Inicial</t>
  </si>
  <si>
    <t>Marzo</t>
  </si>
  <si>
    <t>Clase</t>
  </si>
  <si>
    <t>Comparación de pequeñas cantidades en situaciones cotidianas del jardín.</t>
  </si>
  <si>
    <t>Personaliza/Activación: exploramos saberes previos sobre pequeñas cantidades: ¿dónde hay más, menos o igual?</t>
  </si>
  <si>
    <t>Aprende/Recurso central: Mora en sala del jardín descubre pequeñas cantidades: ¿dónde hay más, menos o igual?</t>
  </si>
  <si>
    <t>Crea/Práctica guiada: juego matemático para observar, comparar y resolver pequeñas cantidades: ¿dónde hay más, menos o igual?</t>
  </si>
  <si>
    <t>Comparte/Producción: evidencia lúdica de pequeñas cantidades: ¿dónde hay más, menos o igual? en Sala de 3 años</t>
  </si>
  <si>
    <t>Secuencia sugerida para carga semanal en Moodle/Catamarca Aprende+: Pequeñas cantidades: ¿dónde hay más, menos o igual?.</t>
  </si>
  <si>
    <t>Cuantificación de colecciones pequeñas por percepción global y primeros conteos.</t>
  </si>
  <si>
    <t>Personaliza/Activación: exploramos saberes previos sobre contamos objetos de la sala: lápices, bloques y tapitas</t>
  </si>
  <si>
    <t>Aprende/Recurso central: Mora en patio del jardín descubre contamos objetos de la sala: lápices, bloques y tapitas</t>
  </si>
  <si>
    <t>Crea/Práctica guiada: juego matemático para observar, comparar y resolver contamos objetos de la sala: lápices, bloques y tapitas</t>
  </si>
  <si>
    <t>Comparte/Producción: evidencia lúdica de contamos objetos de la sala: lápices, bloques y tapitas en Sala de 3 años</t>
  </si>
  <si>
    <t>Secuencia sugerida para carga semanal en Moodle/Catamarca Aprende+: Contamos objetos de la sala: lápices, bloques y tapitas.</t>
  </si>
  <si>
    <t>Uso de números para cuantificar colecciones pequeñas en juegos reglados simples.</t>
  </si>
  <si>
    <t>Personaliza/Activación: exploramos saberes previos sobre dados, fichas y puntos: contar para jugar</t>
  </si>
  <si>
    <t>Aprende/Recurso central: Mora en Jardín Pelusín de Saujil descubre dados, fichas y puntos: contar para jugar</t>
  </si>
  <si>
    <t>Crea/Práctica guiada: juego matemático para observar, comparar y resolver dados, fichas y puntos: contar para jugar</t>
  </si>
  <si>
    <t>Comparte/Producción: evidencia lúdica de dados, fichas y puntos: contar para jugar en Sala de 3 años</t>
  </si>
  <si>
    <t>Secuencia sugerida para carga semanal en Moodle/Catamarca Aprende+: Dados, fichas y puntos: contar para jugar.</t>
  </si>
  <si>
    <t>Comparación de pequeñas colecciones utilizando el conteo progresivo.</t>
  </si>
  <si>
    <t>Personaliza/Activación: exploramos saberes previos sobre colecciones pequeñas: comparamos y verificamos contando</t>
  </si>
  <si>
    <t>Aprende/Recurso central: Mora en Plaza 25 de Mayo descubre colecciones pequeñas: comparamos y verificamos contando</t>
  </si>
  <si>
    <t>Crea/Práctica guiada: juego matemático para observar, comparar y resolver colecciones pequeñas: comparamos y verificamos contando</t>
  </si>
  <si>
    <t>Comparte/Producción: evidencia lúdica de colecciones pequeñas: comparamos y verificamos contando en Sala de 3 años</t>
  </si>
  <si>
    <t>Secuencia sugerida para carga semanal en Moodle/Catamarca Aprende+: Colecciones pequeñas: comparamos y verificamos contando.</t>
  </si>
  <si>
    <t>Abril</t>
  </si>
  <si>
    <t>Resolución de problemas ligados a juntar y unir colecciones pequeñas.</t>
  </si>
  <si>
    <t>Personaliza/Activación: exploramos saberes previos sobre juntamos objetos: ¿cuántos hay ahora?</t>
  </si>
  <si>
    <t>Aprende/Recurso central: Mora en Feria de frutas de Catamarca descubre juntamos objetos: ¿cuántos hay ahora?</t>
  </si>
  <si>
    <t>Crea/Práctica guiada: juego matemático para observar, comparar y resolver juntamos objetos: ¿cuántos hay ahora?</t>
  </si>
  <si>
    <t>Comparte/Producción: evidencia lúdica de juntamos objetos: ¿cuántos hay ahora? en Sala de 3 años</t>
  </si>
  <si>
    <t>Secuencia sugerida para carga semanal en Moodle/Catamarca Aprende+: Juntamos objetos: ¿cuántos hay ahora?.</t>
  </si>
  <si>
    <t>Resolución de problemas ligados a agregar objetos a una colección.</t>
  </si>
  <si>
    <t>Personaliza/Activación: exploramos saberes previos sobre agregamos uno más en juegos de mesa</t>
  </si>
  <si>
    <t>Aprende/Recurso central: Mora en Casa de la Niña Mora descubre agregamos uno más en juegos de mesa</t>
  </si>
  <si>
    <t>Crea/Práctica guiada: juego matemático para observar, comparar y resolver agregamos uno más en juegos de mesa</t>
  </si>
  <si>
    <t>Comparte/Producción: evidencia lúdica de agregamos uno más en juegos de mesa en Sala de 3 años</t>
  </si>
  <si>
    <t>Secuencia sugerida para carga semanal en Moodle/Catamarca Aprende+: Agregamos uno más en juegos de mesa.</t>
  </si>
  <si>
    <t>Resolución de problemas ligados a quitar objetos de una colección.</t>
  </si>
  <si>
    <t>Personaliza/Activación: exploramos saberes previos sobre sacamos, quitamos y contamos lo que queda</t>
  </si>
  <si>
    <t>Aprende/Recurso central: Mora en Museo y patio escolar descubre sacamos, quitamos y contamos lo que queda</t>
  </si>
  <si>
    <t>Crea/Práctica guiada: juego matemático para observar, comparar y resolver sacamos, quitamos y contamos lo que queda</t>
  </si>
  <si>
    <t>Comparte/Producción: evidencia lúdica de sacamos, quitamos y contamos lo que queda en Sala de 3 años</t>
  </si>
  <si>
    <t>Secuencia sugerida para carga semanal en Moodle/Catamarca Aprende+: Sacamos, quitamos y contamos lo que queda.</t>
  </si>
  <si>
    <t>Resolución de problemas ligados a partir y repartir en contextos de juego.</t>
  </si>
  <si>
    <t>Personaliza/Activación: exploramos saberes previos sobre repartimos materiales: uno para cada uno</t>
  </si>
  <si>
    <t>Aprende/Recurso central: Mora en Parque Adán Quiroga descubre repartimos materiales: uno para cada uno</t>
  </si>
  <si>
    <t>Crea/Práctica guiada: juego matemático para observar, comparar y resolver repartimos materiales: uno para cada uno</t>
  </si>
  <si>
    <t>Comparte/Producción: evidencia lúdica de repartimos materiales: uno para cada uno en Sala de 3 años</t>
  </si>
  <si>
    <t>Secuencia sugerida para carga semanal en Moodle/Catamarca Aprende+: Repartimos materiales: uno para cada uno.</t>
  </si>
  <si>
    <t>Mayo</t>
  </si>
  <si>
    <t>Espacio: comunicación de posiciones y desplazamientos</t>
  </si>
  <si>
    <t>Uso de referencias espaciales para comunicar ubicación propia en un espacio familiar.</t>
  </si>
  <si>
    <t>Personaliza/Activación: exploramos saberes previos sobre arriba y abajo en la sala</t>
  </si>
  <si>
    <t>Aprende/Recurso central: Mora en Aula con sectores de juego descubre arriba y abajo en la sala</t>
  </si>
  <si>
    <t>Crea/Práctica guiada: juego matemático para observar, comparar y resolver arriba y abajo en la sala</t>
  </si>
  <si>
    <t>Comparte/Producción: evidencia lúdica de arriba y abajo en la sala en Sala de 3 años</t>
  </si>
  <si>
    <t>Secuencia sugerida para carga semanal en Moodle/Catamarca Aprende+: Arriba y abajo en la sala.</t>
  </si>
  <si>
    <t>Relaciones de posición: adelante y atrás en juegos corporales.</t>
  </si>
  <si>
    <t>Personaliza/Activación: exploramos saberes previos sobre adelante y atrás: juegos de movimiento</t>
  </si>
  <si>
    <t>Aprende/Recurso central: Mora en Biblioteca del jardín descubre adelante y atrás: juegos de movimiento</t>
  </si>
  <si>
    <t>Crea/Práctica guiada: juego matemático para observar, comparar y resolver adelante y atrás: juegos de movimiento</t>
  </si>
  <si>
    <t>Comparte/Producción: evidencia lúdica de adelante y atrás: juegos de movimiento en Sala de 3 años</t>
  </si>
  <si>
    <t>Secuencia sugerida para carga semanal en Moodle/Catamarca Aprende+: Adelante y atrás: juegos de movimiento.</t>
  </si>
  <si>
    <t>Relaciones de orientación: hacia un lado y hacia otro.</t>
  </si>
  <si>
    <t>Personaliza/Activación: exploramos saberes previos sobre hacia un lado y hacia el otro</t>
  </si>
  <si>
    <t>Aprende/Recurso central: Mora en Paseo por Pomán descubre hacia un lado y hacia el otro</t>
  </si>
  <si>
    <t>Crea/Práctica guiada: juego matemático para observar, comparar y resolver hacia un lado y hacia el otro</t>
  </si>
  <si>
    <t>Comparte/Producción: evidencia lúdica de hacia un lado y hacia el otro en Sala de 3 años</t>
  </si>
  <si>
    <t>Secuencia sugerida para carga semanal en Moodle/Catamarca Aprende+: Hacia un lado y hacia el otro.</t>
  </si>
  <si>
    <t>Reconocimiento de relaciones de interioridad: dentro y fuera.</t>
  </si>
  <si>
    <t>Personaliza/Activación: exploramos saberes previos sobre dentro y fuera: cajas, aros y refugios</t>
  </si>
  <si>
    <t>Aprende/Recurso central: Mora en Plaza de Choya descubre dentro y fuera: cajas, aros y refugios</t>
  </si>
  <si>
    <t>Crea/Práctica guiada: juego matemático para observar, comparar y resolver dentro y fuera: cajas, aros y refugios</t>
  </si>
  <si>
    <t>Comparte/Producción: evidencia lúdica de dentro y fuera: cajas, aros y refugios en Sala de 3 años</t>
  </si>
  <si>
    <t>Secuencia sugerida para carga semanal en Moodle/Catamarca Aprende+: Dentro y fuera: cajas, aros y refugios.</t>
  </si>
  <si>
    <t>Reconocimiento de relaciones abierto/cerrado en objetos cotidianos.</t>
  </si>
  <si>
    <t>Personaliza/Activación: exploramos saberes previos sobre abierto y cerrado en la sala</t>
  </si>
  <si>
    <t>Aprende/Recurso central: Mora en sala del jardín descubre abierto y cerrado en la sala</t>
  </si>
  <si>
    <t>Crea/Práctica guiada: juego matemático para observar, comparar y resolver abierto y cerrado en la sala</t>
  </si>
  <si>
    <t>Comparte/Producción: evidencia lúdica de abierto y cerrado en la sala en Sala de 3 años</t>
  </si>
  <si>
    <t>Secuencia sugerida para carga semanal en Moodle/Catamarca Aprende+: Abierto y cerrado en la sala.</t>
  </si>
  <si>
    <t>Junio</t>
  </si>
  <si>
    <t>Exploración de distintos recorridos para llegar a un mismo punto.</t>
  </si>
  <si>
    <t>Personaliza/Activación: exploramos saberes previos sobre caminos para llegar al mismo lugar</t>
  </si>
  <si>
    <t>Aprende/Recurso central: Mora en patio del jardín descubre caminos para llegar al mismo lugar</t>
  </si>
  <si>
    <t>Crea/Práctica guiada: juego matemático para observar, comparar y resolver caminos para llegar al mismo lugar</t>
  </si>
  <si>
    <t>Comparte/Producción: evidencia lúdica de caminos para llegar al mismo lugar en Sala de 3 años</t>
  </si>
  <si>
    <t>Secuencia sugerida para carga semanal en Moodle/Catamarca Aprende+: Caminos para llegar al mismo lugar.</t>
  </si>
  <si>
    <t>Uso de referencias espaciales para comunicar desplazamientos.</t>
  </si>
  <si>
    <t>Personaliza/Activación: exploramos saberes previos sobre le indicamos a mora cómo llegar</t>
  </si>
  <si>
    <t>Aprende/Recurso central: Mora en Jardín Pelusín de Saujil descubre le indicamos a mora cómo llegar</t>
  </si>
  <si>
    <t>Crea/Práctica guiada: juego matemático para observar, comparar y resolver le indicamos a mora cómo llegar</t>
  </si>
  <si>
    <t>Comparte/Producción: evidencia lúdica de le indicamos a mora cómo llegar en Sala de 3 años</t>
  </si>
  <si>
    <t>Secuencia sugerida para carga semanal en Moodle/Catamarca Aprende+: Le indicamos a Mora cómo llegar.</t>
  </si>
  <si>
    <t>Integración de posiciones y recorridos en juegos de búsqueda.</t>
  </si>
  <si>
    <t>Personaliza/Activación: exploramos saberes previos sobre búsqueda del tesoro: pistas espaciales</t>
  </si>
  <si>
    <t>Aprende/Recurso central: Mora en Plaza 25 de Mayo descubre búsqueda del tesoro: pistas espaciales</t>
  </si>
  <si>
    <t>Crea/Práctica guiada: juego matemático para observar, comparar y resolver búsqueda del tesoro: pistas espaciales</t>
  </si>
  <si>
    <t>Comparte/Producción: evidencia lúdica de búsqueda del tesoro: pistas espaciales en Sala de 3 años</t>
  </si>
  <si>
    <t>Secuencia sugerida para carga semanal en Moodle/Catamarca Aprende+: Búsqueda del tesoro: pistas espaciales.</t>
  </si>
  <si>
    <t>Número y espacio</t>
  </si>
  <si>
    <t>Recuperación integrada de conteo y posiciones en juegos del jardín.</t>
  </si>
  <si>
    <t>Personaliza/Activación: exploramos saberes previos sobre volvemos a jugar con números y lugares</t>
  </si>
  <si>
    <t>Aprende/Recurso central: Mora en Feria de frutas de Catamarca descubre volvemos a jugar con números y lugares</t>
  </si>
  <si>
    <t>Crea/Práctica guiada: juego matemático para observar, comparar y resolver volvemos a jugar con números y lugares</t>
  </si>
  <si>
    <t>Comparte/Producción: evidencia lúdica de volvemos a jugar con números y lugares en Sala de 3 años</t>
  </si>
  <si>
    <t>Secuencia sugerida para carga semanal en Moodle/Catamarca Aprende+: Volvemos a jugar con números y lugares.</t>
  </si>
  <si>
    <t>Julio</t>
  </si>
  <si>
    <t>Recuperación post-receso: pequeñas cantidades y ubicaciones familiares.</t>
  </si>
  <si>
    <t>Personaliza/Activación: exploramos saberes previos sobre después del receso: contamos y ubicamos objetos</t>
  </si>
  <si>
    <t>Aprende/Recurso central: Mora en Casa de la Niña Mora descubre después del receso: contamos y ubicamos objetos</t>
  </si>
  <si>
    <t>Crea/Práctica guiada: juego matemático para observar, comparar y resolver después del receso: contamos y ubicamos objetos</t>
  </si>
  <si>
    <t>Comparte/Producción: evidencia lúdica de después del receso: contamos y ubicamos objetos en Sala de 3 años</t>
  </si>
  <si>
    <t>Secuencia sugerida para carga semanal en Moodle/Catamarca Aprende+: Después del receso: contamos y ubicamos objetos.</t>
  </si>
  <si>
    <t>Receso de invierno</t>
  </si>
  <si>
    <t>Sin carga nueva de contenidos. Se recomienda sostener lectura de datos, juegos familiares y exploración libre si la institución lo considera pertinente.</t>
  </si>
  <si>
    <t>Sin actividad nueva</t>
  </si>
  <si>
    <t>Sin recurso nuevo</t>
  </si>
  <si>
    <t>Sin práctica nueva</t>
  </si>
  <si>
    <t>Sin producción nueva</t>
  </si>
  <si>
    <t>No se programa carga nueva en Moodle.</t>
  </si>
  <si>
    <t>Comunicación de posiciones de objetos en espacios familiares.</t>
  </si>
  <si>
    <t>Personaliza/Activación: exploramos saberes previos sobre ¿dónde está? decimos y señalamos</t>
  </si>
  <si>
    <t>Aprende/Recurso central: Mora en Museo y patio escolar descubre ¿dónde está? decimos y señalamos</t>
  </si>
  <si>
    <t>Crea/Práctica guiada: juego matemático para observar, comparar y resolver ¿dónde está? decimos y señalamos</t>
  </si>
  <si>
    <t>Comparte/Producción: evidencia lúdica de ¿dónde está? decimos y señalamos en Sala de 3 años</t>
  </si>
  <si>
    <t>Secuencia sugerida para carga semanal en Moodle/Catamarca Aprende+: ¿Dónde está? Decimos y señalamos.</t>
  </si>
  <si>
    <t>Personaliza/Activación: exploramos saberes previos sobre buscamos formas en la sala</t>
  </si>
  <si>
    <t>Aprende/Recurso central: Mora en Parque Adán Quiroga descubre buscamos formas en la sala</t>
  </si>
  <si>
    <t>Crea/Práctica guiada: juego matemático para observar, comparar y resolver buscamos formas en la sala</t>
  </si>
  <si>
    <t>Comparte/Producción: evidencia lúdica de buscamos formas en la sala en Sala de 3 años</t>
  </si>
  <si>
    <t>Secuencia sugerida para carga semanal en Moodle/Catamarca Aprende+: Buscamos formas en la sala.</t>
  </si>
  <si>
    <t>Agosto</t>
  </si>
  <si>
    <t>Observación de objetos con bordes curvos en el entorno.</t>
  </si>
  <si>
    <t>Personaliza/Activación: exploramos saberes previos sobre objetos redondos y curvas</t>
  </si>
  <si>
    <t>Aprende/Recurso central: Mora en Aula con sectores de juego descubre objetos redondos y curvas</t>
  </si>
  <si>
    <t>Crea/Práctica guiada: juego matemático para observar, comparar y resolver objetos redondos y curvas</t>
  </si>
  <si>
    <t>Comparte/Producción: evidencia lúdica de objetos redondos y curvas en Sala de 3 años</t>
  </si>
  <si>
    <t>Secuencia sugerida para carga semanal en Moodle/Catamarca Aprende+: Objetos redondos y curvas.</t>
  </si>
  <si>
    <t>Observación de objetos con lados rectos en el entorno.</t>
  </si>
  <si>
    <t>Personaliza/Activación: exploramos saberes previos sobre lados rectos en bloques, libros y mesas</t>
  </si>
  <si>
    <t>Aprende/Recurso central: Mora en Biblioteca del jardín descubre lados rectos en bloques, libros y mesas</t>
  </si>
  <si>
    <t>Crea/Práctica guiada: juego matemático para observar, comparar y resolver lados rectos en bloques, libros y mesas</t>
  </si>
  <si>
    <t>Comparte/Producción: evidencia lúdica de lados rectos en bloques, libros y mesas en Sala de 3 años</t>
  </si>
  <si>
    <t>Secuencia sugerida para carga semanal en Moodle/Catamarca Aprende+: Lados rectos en bloques, libros y mesas.</t>
  </si>
  <si>
    <t>Exploración de cuerpos a partir de construcción con bloques.</t>
  </si>
  <si>
    <t>Personaliza/Activación: exploramos saberes previos sobre construimos torres y caminos con cuerpos</t>
  </si>
  <si>
    <t>Aprende/Recurso central: Mora en Paseo por Pomán descubre construimos torres y caminos con cuerpos</t>
  </si>
  <si>
    <t>Crea/Práctica guiada: juego matemático para observar, comparar y resolver construimos torres y caminos con cuerpos</t>
  </si>
  <si>
    <t>Comparte/Producción: evidencia lúdica de construimos torres y caminos con cuerpos en Sala de 3 años</t>
  </si>
  <si>
    <t>Secuencia sugerida para carga semanal en Moodle/Catamarca Aprende+: Construimos torres y caminos con cuerpos.</t>
  </si>
  <si>
    <t>Exploración de huellas y marcas producidas por cuerpos geométricos.</t>
  </si>
  <si>
    <t>Personaliza/Activación: exploramos saberes previos sobre sellos y huellas de formas</t>
  </si>
  <si>
    <t>Aprende/Recurso central: Mora en Plaza de Choya descubre sellos y huellas de formas</t>
  </si>
  <si>
    <t>Crea/Práctica guiada: juego matemático para observar, comparar y resolver sellos y huellas de formas</t>
  </si>
  <si>
    <t>Comparte/Producción: evidencia lúdica de sellos y huellas de formas en Sala de 3 años</t>
  </si>
  <si>
    <t>Secuencia sugerida para carga semanal en Moodle/Catamarca Aprende+: Sellos y huellas de formas.</t>
  </si>
  <si>
    <t>Septiembre</t>
  </si>
  <si>
    <t>Relación entre objetos y formas en problemas sencillos de reconocimiento.</t>
  </si>
  <si>
    <t>Personaliza/Activación: exploramos saberes previos sobre ¿a qué forma se parece?</t>
  </si>
  <si>
    <t>Aprende/Recurso central: Mora en sala del jardín descubre ¿a qué forma se parece?</t>
  </si>
  <si>
    <t>Crea/Práctica guiada: juego matemático para observar, comparar y resolver ¿a qué forma se parece?</t>
  </si>
  <si>
    <t>Comparte/Producción: evidencia lúdica de ¿a qué forma se parece? en Sala de 3 años</t>
  </si>
  <si>
    <t>Secuencia sugerida para carga semanal en Moodle/Catamarca Aprende+: ¿A qué forma se parece?.</t>
  </si>
  <si>
    <t>Armado de rompecabezas simples y composición de imágenes con formas.</t>
  </si>
  <si>
    <t>Personaliza/Activación: exploramos saberes previos sobre rompecabezas de formas</t>
  </si>
  <si>
    <t>Aprende/Recurso central: Mora en patio del jardín descubre rompecabezas de formas</t>
  </si>
  <si>
    <t>Crea/Práctica guiada: juego matemático para observar, comparar y resolver rompecabezas de formas</t>
  </si>
  <si>
    <t>Comparte/Producción: evidencia lúdica de rompecabezas de formas en Sala de 3 años</t>
  </si>
  <si>
    <t>Secuencia sugerida para carga semanal en Moodle/Catamarca Aprende+: Rompecabezas de formas.</t>
  </si>
  <si>
    <t>Clasificación inicial de objetos según semejanzas de forma.</t>
  </si>
  <si>
    <t>Personaliza/Activación: exploramos saberes previos sobre agrupamos objetos por su forma</t>
  </si>
  <si>
    <t>Aprende/Recurso central: Mora en Jardín Pelusín de Saujil descubre agrupamos objetos por su forma</t>
  </si>
  <si>
    <t>Crea/Práctica guiada: juego matemático para observar, comparar y resolver agrupamos objetos por su forma</t>
  </si>
  <si>
    <t>Comparte/Producción: evidencia lúdica de agrupamos objetos por su forma en Sala de 3 años</t>
  </si>
  <si>
    <t>Secuencia sugerida para carga semanal en Moodle/Catamarca Aprende+: Agrupamos objetos por su forma.</t>
  </si>
  <si>
    <t>Resolución de problemas de agregar en colecciones pequeñas con apoyo de objetos.</t>
  </si>
  <si>
    <t>Personaliza/Activación: exploramos saberes previos sobre agregamos y contamos</t>
  </si>
  <si>
    <t>Aprende/Recurso central: Mora en Plaza 25 de Mayo descubre agregamos y contamos</t>
  </si>
  <si>
    <t>Crea/Práctica guiada: juego matemático para observar, comparar y resolver agregamos y contamos</t>
  </si>
  <si>
    <t>Comparte/Producción: evidencia lúdica de agregamos y contamos en Sala de 3 años</t>
  </si>
  <si>
    <t>Secuencia sugerida para carga semanal en Moodle/Catamarca Aprende+: Agregamos y contamos.</t>
  </si>
  <si>
    <t>Resolución de problemas de quitar en colecciones pequeñas con apoyo de objetos.</t>
  </si>
  <si>
    <t>Personaliza/Activación: exploramos saberes previos sobre quitamos y verificamos</t>
  </si>
  <si>
    <t>Aprende/Recurso central: Mora en Feria de frutas de Catamarca descubre quitamos y verificamos</t>
  </si>
  <si>
    <t>Crea/Práctica guiada: juego matemático para observar, comparar y resolver quitamos y verificamos</t>
  </si>
  <si>
    <t>Comparte/Producción: evidencia lúdica de quitamos y verificamos en Sala de 3 años</t>
  </si>
  <si>
    <t>Secuencia sugerida para carga semanal en Moodle/Catamarca Aprende+: Quitamos y verificamos.</t>
  </si>
  <si>
    <t>Octubre</t>
  </si>
  <si>
    <t>Resolución de problemas de juntar, unir y separar materiales.</t>
  </si>
  <si>
    <t>Personaliza/Activación: exploramos saberes previos sobre juntamos y separamos colecciones</t>
  </si>
  <si>
    <t>Aprende/Recurso central: Mora en Casa de la Niña Mora descubre juntamos y separamos colecciones</t>
  </si>
  <si>
    <t>Crea/Práctica guiada: juego matemático para observar, comparar y resolver juntamos y separamos colecciones</t>
  </si>
  <si>
    <t>Comparte/Producción: evidencia lúdica de juntamos y separamos colecciones en Sala de 3 años</t>
  </si>
  <si>
    <t>Secuencia sugerida para carga semanal en Moodle/Catamarca Aprende+: Juntamos y separamos colecciones.</t>
  </si>
  <si>
    <t>Resolución de problemas de completar colecciones pequeñas.</t>
  </si>
  <si>
    <t>Personaliza/Activación: exploramos saberes previos sobre completamos lo que falta</t>
  </si>
  <si>
    <t>Aprende/Recurso central: Mora en Museo y patio escolar descubre completamos lo que falta</t>
  </si>
  <si>
    <t>Crea/Práctica guiada: juego matemático para observar, comparar y resolver completamos lo que falta</t>
  </si>
  <si>
    <t>Comparte/Producción: evidencia lúdica de completamos lo que falta en Sala de 3 años</t>
  </si>
  <si>
    <t>Secuencia sugerida para carga semanal en Moodle/Catamarca Aprende+: Completamos lo que falta.</t>
  </si>
  <si>
    <t>Número, espacio y formas</t>
  </si>
  <si>
    <t>Juego sociodramático con problemas de cantidad, ubicación y forma.</t>
  </si>
  <si>
    <t>Personaliza/Activación: exploramos saberes previos sobre la tienda del jardín: contar, ubicar y elegir</t>
  </si>
  <si>
    <t>Aprende/Recurso central: Mora en Parque Adán Quiroga descubre la tienda del jardín: contar, ubicar y elegir</t>
  </si>
  <si>
    <t>Crea/Práctica guiada: juego matemático para observar, comparar y resolver la tienda del jardín: contar, ubicar y elegir</t>
  </si>
  <si>
    <t>Comparte/Producción: evidencia lúdica de la tienda del jardín: contar, ubicar y elegir en Sala de 3 años</t>
  </si>
  <si>
    <t>Secuencia sugerida para carga semanal en Moodle/Catamarca Aprende+: La tienda del jardín: contar, ubicar y elegir.</t>
  </si>
  <si>
    <t>Espacio y formas geométricas</t>
  </si>
  <si>
    <t>Recorridos y reconocimiento de formas en el patio del jardín.</t>
  </si>
  <si>
    <t>Personaliza/Activación: exploramos saberes previos sobre paseo matemático por el patio</t>
  </si>
  <si>
    <t>Aprende/Recurso central: Mora en Aula con sectores de juego descubre paseo matemático por el patio</t>
  </si>
  <si>
    <t>Crea/Práctica guiada: juego matemático para observar, comparar y resolver paseo matemático por el patio</t>
  </si>
  <si>
    <t>Comparte/Producción: evidencia lúdica de paseo matemático por el patio en Sala de 3 años</t>
  </si>
  <si>
    <t>Secuencia sugerida para carga semanal en Moodle/Catamarca Aprende+: Paseo matemático por el patio.</t>
  </si>
  <si>
    <t>Noviembre</t>
  </si>
  <si>
    <t>Juegos con dados, fichas y colecciones pequeñas.</t>
  </si>
  <si>
    <t>Personaliza/Activación: exploramos saberes previos sobre tiramos el dado y contamos fichas</t>
  </si>
  <si>
    <t>Aprende/Recurso central: Mora en Biblioteca del jardín descubre tiramos el dado y contamos fichas</t>
  </si>
  <si>
    <t>Crea/Práctica guiada: juego matemático para observar, comparar y resolver tiramos el dado y contamos fichas</t>
  </si>
  <si>
    <t>Comparte/Producción: evidencia lúdica de tiramos el dado y contamos fichas en Sala de 3 años</t>
  </si>
  <si>
    <t>Secuencia sugerida para carga semanal en Moodle/Catamarca Aprende+: Tiramos el dado y contamos fichas.</t>
  </si>
  <si>
    <t>Relatos lúdicos con problemas matemáticos sencillos.</t>
  </si>
  <si>
    <t>Personaliza/Activación: exploramos saberes previos sobre una historia matemática de mora</t>
  </si>
  <si>
    <t>Aprende/Recurso central: Mora en Paseo por Pomán descubre una historia matemática de mora</t>
  </si>
  <si>
    <t>Crea/Práctica guiada: juego matemático para observar, comparar y resolver una historia matemática de mora</t>
  </si>
  <si>
    <t>Comparte/Producción: evidencia lúdica de una historia matemática de mora en Sala de 3 años</t>
  </si>
  <si>
    <t>Secuencia sugerida para carga semanal en Moodle/Catamarca Aprende+: Una historia matemática de Mora.</t>
  </si>
  <si>
    <t>Integración de saberes matemáticos mediante juegos de cierre.</t>
  </si>
  <si>
    <t>Personaliza/Activación: exploramos saberes previos sobre gran juego matemático de sala de 3</t>
  </si>
  <si>
    <t>Aprende/Recurso central: Mora en Plaza de Choya descubre gran juego matemático de sala de 3</t>
  </si>
  <si>
    <t>Crea/Práctica guiada: juego matemático para observar, comparar y resolver gran juego matemático de sala de 3</t>
  </si>
  <si>
    <t>Comparte/Producción: evidencia lúdica de gran juego matemático de sala de 3 en Sala de 3 años</t>
  </si>
  <si>
    <t>Secuencia sugerida para carga semanal en Moodle/Catamarca Aprende+: Gran juego matemático de sala de 3.</t>
  </si>
  <si>
    <t>Registro de evidencias de aprendizajes matemáticos en producciones lúdicas.</t>
  </si>
  <si>
    <t>Personaliza/Activación: exploramos saberes previos sobre mi carpeta de juegos matemáticos</t>
  </si>
  <si>
    <t>Aprende/Recurso central: Mora en sala del jardín descubre mi carpeta de juegos matemáticos</t>
  </si>
  <si>
    <t>Crea/Práctica guiada: juego matemático para observar, comparar y resolver mi carpeta de juegos matemáticos</t>
  </si>
  <si>
    <t>Comparte/Producción: evidencia lúdica de mi carpeta de juegos matemáticos en Sala de 3 años</t>
  </si>
  <si>
    <t>Secuencia sugerida para carga semanal en Moodle/Catamarca Aprende+: Mi carpeta de juegos matemáticos.</t>
  </si>
  <si>
    <t>Diciembre</t>
  </si>
  <si>
    <t>Cierre anual: comunicación oral de lo aprendido a través del juego.</t>
  </si>
  <si>
    <t>Personaliza/Activación: exploramos saberes previos sobre compartimos lo que aprendimos jugando</t>
  </si>
  <si>
    <t>Aprende/Recurso central: Mora en patio del jardín descubre compartimos lo que aprendimos jugando</t>
  </si>
  <si>
    <t>Crea/Práctica guiada: juego matemático para observar, comparar y resolver compartimos lo que aprendimos jugando</t>
  </si>
  <si>
    <t>Comparte/Producción: evidencia lúdica de compartimos lo que aprendimos jugando en Sala de 3 años</t>
  </si>
  <si>
    <t>Secuencia sugerida para carga semanal en Moodle/Catamarca Aprende+: Compartimos lo que aprendimos jugando.</t>
  </si>
  <si>
    <t>Número: uso y funciones</t>
  </si>
  <si>
    <t>Comparación de colecciones a partir de relaciones de igualdad y desigualdad.</t>
  </si>
  <si>
    <t>Personaliza/Activación: exploramos saberes previos sobre tantos como, más que y menos que</t>
  </si>
  <si>
    <t>Aprende/Recurso central: Mora en sala del jardín descubre tantos como, más que y menos que</t>
  </si>
  <si>
    <t>Crea/Práctica guiada: juego matemático para observar, comparar y resolver tantos como, más que y menos que</t>
  </si>
  <si>
    <t>Comparte/Producción: evidencia lúdica de tantos como, más que y menos que en Sala de 4 años</t>
  </si>
  <si>
    <t>Secuencia sugerida para carga semanal en Moodle/Catamarca Aprende+: Tantos como, más que y menos que.</t>
  </si>
  <si>
    <t>Cuantificación de colecciones mediante conteo y correspondencia.</t>
  </si>
  <si>
    <t>Personaliza/Activación: exploramos saberes previos sobre contamos para saber cuántos hay</t>
  </si>
  <si>
    <t>Aprende/Recurso central: Mora en patio del jardín descubre contamos para saber cuántos hay</t>
  </si>
  <si>
    <t>Crea/Práctica guiada: juego matemático para observar, comparar y resolver contamos para saber cuántos hay</t>
  </si>
  <si>
    <t>Comparte/Producción: evidencia lúdica de contamos para saber cuántos hay en Sala de 4 años</t>
  </si>
  <si>
    <t>Secuencia sugerida para carga semanal en Moodle/Catamarca Aprende+: Contamos para saber cuántos hay.</t>
  </si>
  <si>
    <t>Relaciones de igualdad: construir colecciones con la misma cantidad.</t>
  </si>
  <si>
    <t>Personaliza/Activación: exploramos saberes previos sobre la misma cantidad que</t>
  </si>
  <si>
    <t>Aprende/Recurso central: Mora en Jardín Pelusín de Saujil descubre la misma cantidad que</t>
  </si>
  <si>
    <t>Crea/Práctica guiada: juego matemático para observar, comparar y resolver la misma cantidad que</t>
  </si>
  <si>
    <t>Comparte/Producción: evidencia lúdica de la misma cantidad que en Sala de 4 años</t>
  </si>
  <si>
    <t>Secuencia sugerida para carga semanal en Moodle/Catamarca Aprende+: La misma cantidad que.</t>
  </si>
  <si>
    <t>Relaciones de desigualdad: comparar colecciones más numerosas y menos numerosas.</t>
  </si>
  <si>
    <t>Personaliza/Activación: exploramos saberes previos sobre más que y menos que en juegos con fichas</t>
  </si>
  <si>
    <t>Aprende/Recurso central: Mora en Plaza 25 de Mayo descubre más que y menos que en juegos con fichas</t>
  </si>
  <si>
    <t>Crea/Práctica guiada: juego matemático para observar, comparar y resolver más que y menos que en juegos con fichas</t>
  </si>
  <si>
    <t>Comparte/Producción: evidencia lúdica de más que y menos que en juegos con fichas en Sala de 4 años</t>
  </si>
  <si>
    <t>Secuencia sugerida para carga semanal en Moodle/Catamarca Aprende+: Más que y menos que en juegos con fichas.</t>
  </si>
  <si>
    <t>Posición en una serie ordenada de hasta cuatro elementos.</t>
  </si>
  <si>
    <t>Personaliza/Activación: exploramos saberes previos sobre primero, segundo, tercero y cuarto</t>
  </si>
  <si>
    <t>Aprende/Recurso central: Mora en Feria de frutas de Catamarca descubre primero, segundo, tercero y cuarto</t>
  </si>
  <si>
    <t>Crea/Práctica guiada: juego matemático para observar, comparar y resolver primero, segundo, tercero y cuarto</t>
  </si>
  <si>
    <t>Comparte/Producción: evidencia lúdica de primero, segundo, tercero y cuarto en Sala de 4 años</t>
  </si>
  <si>
    <t>Secuencia sugerida para carga semanal en Moodle/Catamarca Aprende+: Primero, segundo, tercero y cuarto.</t>
  </si>
  <si>
    <t>Números para designar posición: ordinalidad en filas, turnos y juegos.</t>
  </si>
  <si>
    <t>Personaliza/Activación: exploramos saberes previos sobre ¿quién está primero?</t>
  </si>
  <si>
    <t>Aprende/Recurso central: Mora en Casa de la Niña Mora descubre ¿quién está primero?</t>
  </si>
  <si>
    <t>Crea/Práctica guiada: juego matemático para observar, comparar y resolver ¿quién está primero?</t>
  </si>
  <si>
    <t>Comparte/Producción: evidencia lúdica de ¿quién está primero? en Sala de 4 años</t>
  </si>
  <si>
    <t>Secuencia sugerida para carga semanal en Moodle/Catamarca Aprende+: ¿Quién está primero?.</t>
  </si>
  <si>
    <t>Transformación de colecciones: agregar y quitar.</t>
  </si>
  <si>
    <t>Personaliza/Activación: exploramos saberes previos sobre agregamos y quitamos para resolver</t>
  </si>
  <si>
    <t>Aprende/Recurso central: Mora en Museo y patio escolar descubre agregamos y quitamos para resolver</t>
  </si>
  <si>
    <t>Crea/Práctica guiada: juego matemático para observar, comparar y resolver agregamos y quitamos para resolver</t>
  </si>
  <si>
    <t>Comparte/Producción: evidencia lúdica de agregamos y quitamos para resolver en Sala de 4 años</t>
  </si>
  <si>
    <t>Secuencia sugerida para carga semanal en Moodle/Catamarca Aprende+: Agregamos y quitamos para resolver.</t>
  </si>
  <si>
    <t>Transformación de colecciones: avanzar y retroceder en juegos de tablero.</t>
  </si>
  <si>
    <t>Personaliza/Activación: exploramos saberes previos sobre avanzar y retroceder en el camino</t>
  </si>
  <si>
    <t>Aprende/Recurso central: Mora en Parque Adán Quiroga descubre avanzar y retroceder en el camino</t>
  </si>
  <si>
    <t>Crea/Práctica guiada: juego matemático para observar, comparar y resolver avanzar y retroceder en el camino</t>
  </si>
  <si>
    <t>Comparte/Producción: evidencia lúdica de avanzar y retroceder en el camino en Sala de 4 años</t>
  </si>
  <si>
    <t>Secuencia sugerida para carga semanal en Moodle/Catamarca Aprende+: Avanzar y retroceder en el camino.</t>
  </si>
  <si>
    <t>Transformación de colecciones: completar, juntar y unir.</t>
  </si>
  <si>
    <t>Personaliza/Activación: exploramos saberes previos sobre completamos colecciones</t>
  </si>
  <si>
    <t>Aprende/Recurso central: Mora en Aula con sectores de juego descubre completamos colecciones</t>
  </si>
  <si>
    <t>Crea/Práctica guiada: juego matemático para observar, comparar y resolver completamos colecciones</t>
  </si>
  <si>
    <t>Comparte/Producción: evidencia lúdica de completamos colecciones en Sala de 4 años</t>
  </si>
  <si>
    <t>Secuencia sugerida para carga semanal en Moodle/Catamarca Aprende+: Completamos colecciones.</t>
  </si>
  <si>
    <t>Problemas de partir y repartir en situaciones significativas.</t>
  </si>
  <si>
    <t>Personaliza/Activación: exploramos saberes previos sobre repartimos materiales y meriendas</t>
  </si>
  <si>
    <t>Aprende/Recurso central: Mora en Biblioteca del jardín descubre repartimos materiales y meriendas</t>
  </si>
  <si>
    <t>Crea/Práctica guiada: juego matemático para observar, comparar y resolver repartimos materiales y meriendas</t>
  </si>
  <si>
    <t>Comparte/Producción: evidencia lúdica de repartimos materiales y meriendas en Sala de 4 años</t>
  </si>
  <si>
    <t>Secuencia sugerida para carga semanal en Moodle/Catamarca Aprende+: Repartimos materiales y meriendas.</t>
  </si>
  <si>
    <t>Exploración y designación oral de la sucesión ordenada convencional de números.</t>
  </si>
  <si>
    <t>Personaliza/Activación: exploramos saberes previos sobre recitamos, contamos y seguimos la serie</t>
  </si>
  <si>
    <t>Aprende/Recurso central: Mora en Paseo por Pomán descubre recitamos, contamos y seguimos la serie</t>
  </si>
  <si>
    <t>Crea/Práctica guiada: juego matemático para observar, comparar y resolver recitamos, contamos y seguimos la serie</t>
  </si>
  <si>
    <t>Comparte/Producción: evidencia lúdica de recitamos, contamos y seguimos la serie en Sala de 4 años</t>
  </si>
  <si>
    <t>Secuencia sugerida para carga semanal en Moodle/Catamarca Aprende+: Recitamos, contamos y seguimos la serie.</t>
  </si>
  <si>
    <t>Exploración de portadores numéricos: calendarios, bandas y cuadros numéricos.</t>
  </si>
  <si>
    <t>Personaliza/Activación: exploramos saberes previos sobre números en calendarios y carteles</t>
  </si>
  <si>
    <t>Aprende/Recurso central: Mora en Plaza de Choya descubre números en calendarios y carteles</t>
  </si>
  <si>
    <t>Crea/Práctica guiada: juego matemático para observar, comparar y resolver números en calendarios y carteles</t>
  </si>
  <si>
    <t>Comparte/Producción: evidencia lúdica de números en calendarios y carteles en Sala de 4 años</t>
  </si>
  <si>
    <t>Secuencia sugerida para carga semanal en Moodle/Catamarca Aprende+: Números en calendarios y carteles.</t>
  </si>
  <si>
    <t>Registro sencillo de cantidades y resultados de juegos.</t>
  </si>
  <si>
    <t>Personaliza/Activación: exploramos saberes previos sobre anotamos puntajes con marcas y números</t>
  </si>
  <si>
    <t>Aprende/Recurso central: Mora en sala del jardín descubre anotamos puntajes con marcas y números</t>
  </si>
  <si>
    <t>Crea/Práctica guiada: juego matemático para observar, comparar y resolver anotamos puntajes con marcas y números</t>
  </si>
  <si>
    <t>Comparte/Producción: evidencia lúdica de anotamos puntajes con marcas y números en Sala de 4 años</t>
  </si>
  <si>
    <t>Secuencia sugerida para carga semanal en Moodle/Catamarca Aprende+: Anotamos puntajes con marcas y números.</t>
  </si>
  <si>
    <t>Uso de referencias espaciales para comunicar ubicación propia y de objetos.</t>
  </si>
  <si>
    <t>Personaliza/Activación: exploramos saberes previos sobre arriba, abajo y al lado</t>
  </si>
  <si>
    <t>Aprende/Recurso central: Mora en patio del jardín descubre arriba, abajo y al lado</t>
  </si>
  <si>
    <t>Crea/Práctica guiada: juego matemático para observar, comparar y resolver arriba, abajo y al lado</t>
  </si>
  <si>
    <t>Comparte/Producción: evidencia lúdica de arriba, abajo y al lado en Sala de 4 años</t>
  </si>
  <si>
    <t>Secuencia sugerida para carga semanal en Moodle/Catamarca Aprende+: Arriba, abajo y al lado.</t>
  </si>
  <si>
    <t>Relaciones de posición: cerca, lejos y junto a.</t>
  </si>
  <si>
    <t>Personaliza/Activación: exploramos saberes previos sobre cerca y lejos en el patio</t>
  </si>
  <si>
    <t>Aprende/Recurso central: Mora en Jardín Pelusín de Saujil descubre cerca y lejos en el patio</t>
  </si>
  <si>
    <t>Crea/Práctica guiada: juego matemático para observar, comparar y resolver cerca y lejos en el patio</t>
  </si>
  <si>
    <t>Comparte/Producción: evidencia lúdica de cerca y lejos en el patio en Sala de 4 años</t>
  </si>
  <si>
    <t>Secuencia sugerida para carga semanal en Moodle/Catamarca Aprende+: Cerca y lejos en el patio.</t>
  </si>
  <si>
    <t>Relaciones hacia adelante y hacia atrás en recorridos.</t>
  </si>
  <si>
    <t>Personaliza/Activación: exploramos saberes previos sobre caminos hacia adelante y hacia atrás</t>
  </si>
  <si>
    <t>Aprende/Recurso central: Mora en Plaza 25 de Mayo descubre caminos hacia adelante y hacia atrás</t>
  </si>
  <si>
    <t>Crea/Práctica guiada: juego matemático para observar, comparar y resolver caminos hacia adelante y hacia atrás</t>
  </si>
  <si>
    <t>Comparte/Producción: evidencia lúdica de caminos hacia adelante y hacia atrás en Sala de 4 años</t>
  </si>
  <si>
    <t>Secuencia sugerida para carga semanal en Moodle/Catamarca Aprende+: Caminos hacia adelante y hacia atrás.</t>
  </si>
  <si>
    <t>Exploración de distintos recorridos en espacios de diferentes dimensiones.</t>
  </si>
  <si>
    <t>Personaliza/Activación: exploramos saberes previos sobre distintos caminos para llegar</t>
  </si>
  <si>
    <t>Aprende/Recurso central: Mora en Feria de frutas de Catamarca descubre distintos caminos para llegar</t>
  </si>
  <si>
    <t>Crea/Práctica guiada: juego matemático para observar, comparar y resolver distintos caminos para llegar</t>
  </si>
  <si>
    <t>Comparte/Producción: evidencia lúdica de distintos caminos para llegar en Sala de 4 años</t>
  </si>
  <si>
    <t>Secuencia sugerida para carga semanal en Moodle/Catamarca Aprende+: Distintos caminos para llegar.</t>
  </si>
  <si>
    <t>Comunicación de posiciones de objetos y personas en espacios conocidos.</t>
  </si>
  <si>
    <t>Personaliza/Activación: exploramos saberes previos sobre damos pistas para encontrar objetos</t>
  </si>
  <si>
    <t>Aprende/Recurso central: Mora en Casa de la Niña Mora descubre damos pistas para encontrar objetos</t>
  </si>
  <si>
    <t>Crea/Práctica guiada: juego matemático para observar, comparar y resolver damos pistas para encontrar objetos</t>
  </si>
  <si>
    <t>Comparte/Producción: evidencia lúdica de damos pistas para encontrar objetos en Sala de 4 años</t>
  </si>
  <si>
    <t>Secuencia sugerida para carga semanal en Moodle/Catamarca Aprende+: Damos pistas para encontrar objetos.</t>
  </si>
  <si>
    <t>Recuperación post-receso: conteo, comparación y posiciones.</t>
  </si>
  <si>
    <t>Personaliza/Activación: exploramos saberes previos sobre volvemos con juegos de números y lugares</t>
  </si>
  <si>
    <t>Aprende/Recurso central: Mora en Museo y patio escolar descubre volvemos con juegos de números y lugares</t>
  </si>
  <si>
    <t>Crea/Práctica guiada: juego matemático para observar, comparar y resolver volvemos con juegos de números y lugares</t>
  </si>
  <si>
    <t>Comparte/Producción: evidencia lúdica de volvemos con juegos de números y lugares en Sala de 4 años</t>
  </si>
  <si>
    <t>Secuencia sugerida para carga semanal en Moodle/Catamarca Aprende+: Volvemos con juegos de números y lugares.</t>
  </si>
  <si>
    <t>Representación simple de recorridos mediante dibujos y pistas.</t>
  </si>
  <si>
    <t>Personaliza/Activación: exploramos saberes previos sobre dibujamos un recorrido</t>
  </si>
  <si>
    <t>Aprende/Recurso central: Mora en Parque Adán Quiroga descubre dibujamos un recorrido</t>
  </si>
  <si>
    <t>Crea/Práctica guiada: juego matemático para observar, comparar y resolver dibujamos un recorrido</t>
  </si>
  <si>
    <t>Comparte/Producción: evidencia lúdica de dibujamos un recorrido en Sala de 4 años</t>
  </si>
  <si>
    <t>Secuencia sugerida para carga semanal en Moodle/Catamarca Aprende+: Dibujamos un recorrido.</t>
  </si>
  <si>
    <t>Exploración de características de cuerpos y figuras.</t>
  </si>
  <si>
    <t>Personaliza/Activación: exploramos saberes previos sobre exploramos figuras y cuerpos</t>
  </si>
  <si>
    <t>Aprende/Recurso central: Mora en Aula con sectores de juego descubre exploramos figuras y cuerpos</t>
  </si>
  <si>
    <t>Crea/Práctica guiada: juego matemático para observar, comparar y resolver exploramos figuras y cuerpos</t>
  </si>
  <si>
    <t>Comparte/Producción: evidencia lúdica de exploramos figuras y cuerpos en Sala de 4 años</t>
  </si>
  <si>
    <t>Secuencia sugerida para carga semanal en Moodle/Catamarca Aprende+: Exploramos figuras y cuerpos.</t>
  </si>
  <si>
    <t>Construcción de figuras dadas con materiales variados.</t>
  </si>
  <si>
    <t>Personaliza/Activación: exploramos saberes previos sobre construimos formas con palitos y bloques</t>
  </si>
  <si>
    <t>Aprende/Recurso central: Mora en Biblioteca del jardín descubre construimos formas con palitos y bloques</t>
  </si>
  <si>
    <t>Crea/Práctica guiada: juego matemático para observar, comparar y resolver construimos formas con palitos y bloques</t>
  </si>
  <si>
    <t>Comparte/Producción: evidencia lúdica de construimos formas con palitos y bloques en Sala de 4 años</t>
  </si>
  <si>
    <t>Secuencia sugerida para carga semanal en Moodle/Catamarca Aprende+: Construimos formas con palitos y bloques.</t>
  </si>
  <si>
    <t>Reconocimiento de figuras y cuerpos en problemas de análisis de formas.</t>
  </si>
  <si>
    <t>Personaliza/Activación: exploramos saberes previos sobre ¿qué forma tiene?</t>
  </si>
  <si>
    <t>Aprende/Recurso central: Mora en Paseo por Pomán descubre ¿qué forma tiene?</t>
  </si>
  <si>
    <t>Crea/Práctica guiada: juego matemático para observar, comparar y resolver ¿qué forma tiene?</t>
  </si>
  <si>
    <t>Comparte/Producción: evidencia lúdica de ¿qué forma tiene? en Sala de 4 años</t>
  </si>
  <si>
    <t>Secuencia sugerida para carga semanal en Moodle/Catamarca Aprende+: ¿Qué forma tiene?.</t>
  </si>
  <si>
    <t>Reconocimiento de figuras según su forma.</t>
  </si>
  <si>
    <t>Personaliza/Activación: exploramos saberes previos sobre clasificamos figuras por su forma</t>
  </si>
  <si>
    <t>Aprende/Recurso central: Mora en Plaza de Choya descubre clasificamos figuras por su forma</t>
  </si>
  <si>
    <t>Crea/Práctica guiada: juego matemático para observar, comparar y resolver clasificamos figuras por su forma</t>
  </si>
  <si>
    <t>Comparte/Producción: evidencia lúdica de clasificamos figuras por su forma en Sala de 4 años</t>
  </si>
  <si>
    <t>Secuencia sugerida para carga semanal en Moodle/Catamarca Aprende+: Clasificamos figuras por su forma.</t>
  </si>
  <si>
    <t>Resolución de rompecabezas de tres y más cortes.</t>
  </si>
  <si>
    <t>Personaliza/Activación: exploramos saberes previos sobre rompecabezas de tres o más partes</t>
  </si>
  <si>
    <t>Aprende/Recurso central: Mora en sala del jardín descubre rompecabezas de tres o más partes</t>
  </si>
  <si>
    <t>Crea/Práctica guiada: juego matemático para observar, comparar y resolver rompecabezas de tres o más partes</t>
  </si>
  <si>
    <t>Comparte/Producción: evidencia lúdica de rompecabezas de tres o más partes en Sala de 4 años</t>
  </si>
  <si>
    <t>Secuencia sugerida para carga semanal en Moodle/Catamarca Aprende+: Rompecabezas de tres o más partes.</t>
  </si>
  <si>
    <t>Relación entre cuerpos y huellas de figuras.</t>
  </si>
  <si>
    <t>Personaliza/Activación: exploramos saberes previos sobre huellas de cuerpos: ¿qué marca dejan?</t>
  </si>
  <si>
    <t>Aprende/Recurso central: Mora en patio del jardín descubre huellas de cuerpos: ¿qué marca dejan?</t>
  </si>
  <si>
    <t>Crea/Práctica guiada: juego matemático para observar, comparar y resolver huellas de cuerpos: ¿qué marca dejan?</t>
  </si>
  <si>
    <t>Comparte/Producción: evidencia lúdica de huellas de cuerpos: ¿qué marca dejan? en Sala de 4 años</t>
  </si>
  <si>
    <t>Secuencia sugerida para carga semanal en Moodle/Catamarca Aprende+: Huellas de cuerpos: ¿qué marca dejan?.</t>
  </si>
  <si>
    <t>Composición de imágenes con figuras.</t>
  </si>
  <si>
    <t>Personaliza/Activación: exploramos saberes previos sobre armamos dibujos con formas</t>
  </si>
  <si>
    <t>Aprende/Recurso central: Mora en Jardín Pelusín de Saujil descubre armamos dibujos con formas</t>
  </si>
  <si>
    <t>Crea/Práctica guiada: juego matemático para observar, comparar y resolver armamos dibujos con formas</t>
  </si>
  <si>
    <t>Comparte/Producción: evidencia lúdica de armamos dibujos con formas en Sala de 4 años</t>
  </si>
  <si>
    <t>Secuencia sugerida para carga semanal en Moodle/Catamarca Aprende+: Armamos dibujos con formas.</t>
  </si>
  <si>
    <t>Exploración de elementos convencionales y no convencionales para medir longitud.</t>
  </si>
  <si>
    <t>Personaliza/Activación: exploramos saberes previos sobre medimos con pasos, manos y cintas</t>
  </si>
  <si>
    <t>Aprende/Recurso central: Mora en Plaza 25 de Mayo descubre medimos con pasos, manos y cintas</t>
  </si>
  <si>
    <t>Crea/Práctica guiada: juego matemático para observar, comparar y resolver medimos con pasos, manos y cintas</t>
  </si>
  <si>
    <t>Comparte/Producción: evidencia lúdica de medimos con pasos, manos y cintas en Sala de 4 años</t>
  </si>
  <si>
    <t>Secuencia sugerida para carga semanal en Moodle/Catamarca Aprende+: Medimos con pasos, manos y cintas.</t>
  </si>
  <si>
    <t>Comparación de longitudes en contextos cotidianos del jardín.</t>
  </si>
  <si>
    <t>Personaliza/Activación: exploramos saberes previos sobre más largo, más corto, igual</t>
  </si>
  <si>
    <t>Aprende/Recurso central: Mora en Feria de frutas de Catamarca descubre más largo, más corto, igual</t>
  </si>
  <si>
    <t>Crea/Práctica guiada: juego matemático para observar, comparar y resolver más largo, más corto, igual</t>
  </si>
  <si>
    <t>Comparte/Producción: evidencia lúdica de más largo, más corto, igual en Sala de 4 años</t>
  </si>
  <si>
    <t>Secuencia sugerida para carga semanal en Moodle/Catamarca Aprende+: Más largo, más corto, igual.</t>
  </si>
  <si>
    <t>Exploración de capacidad con recipientes y trasvasado.</t>
  </si>
  <si>
    <t>Personaliza/Activación: exploramos saberes previos sobre ¿dónde entra más?</t>
  </si>
  <si>
    <t>Aprende/Recurso central: Mora en Casa de la Niña Mora descubre ¿dónde entra más?</t>
  </si>
  <si>
    <t>Crea/Práctica guiada: juego matemático para observar, comparar y resolver ¿dónde entra más?</t>
  </si>
  <si>
    <t>Comparte/Producción: evidencia lúdica de ¿dónde entra más? en Sala de 4 años</t>
  </si>
  <si>
    <t>Secuencia sugerida para carga semanal en Moodle/Catamarca Aprende+: ¿Dónde entra más?.</t>
  </si>
  <si>
    <t>Exploración de peso con objetos y comparación manual.</t>
  </si>
  <si>
    <t>Personaliza/Activación: exploramos saberes previos sobre pesado y liviano</t>
  </si>
  <si>
    <t>Aprende/Recurso central: Mora en Museo y patio escolar descubre pesado y liviano</t>
  </si>
  <si>
    <t>Crea/Práctica guiada: juego matemático para observar, comparar y resolver pesado y liviano</t>
  </si>
  <si>
    <t>Comparte/Producción: evidencia lúdica de pesado y liviano en Sala de 4 años</t>
  </si>
  <si>
    <t>Secuencia sugerida para carga semanal en Moodle/Catamarca Aprende+: Pesado y liviano.</t>
  </si>
  <si>
    <t>Estimación y verificación con objetos o elementos no convencionales.</t>
  </si>
  <si>
    <t>Personaliza/Activación: exploramos saberes previos sobre primero estimamos, después probamos</t>
  </si>
  <si>
    <t>Aprende/Recurso central: Mora en Parque Adán Quiroga descubre primero estimamos, después probamos</t>
  </si>
  <si>
    <t>Crea/Práctica guiada: juego matemático para observar, comparar y resolver primero estimamos, después probamos</t>
  </si>
  <si>
    <t>Comparte/Producción: evidencia lúdica de primero estimamos, después probamos en Sala de 4 años</t>
  </si>
  <si>
    <t>Secuencia sugerida para carga semanal en Moodle/Catamarca Aprende+: Primero estimamos, después probamos.</t>
  </si>
  <si>
    <t>Resolución de problemas sencillos de medida en la vida del jardín.</t>
  </si>
  <si>
    <t>Personaliza/Activación: exploramos saberes previos sobre medimos para organizar la sala</t>
  </si>
  <si>
    <t>Aprende/Recurso central: Mora en Aula con sectores de juego descubre medimos para organizar la sala</t>
  </si>
  <si>
    <t>Crea/Práctica guiada: juego matemático para observar, comparar y resolver medimos para organizar la sala</t>
  </si>
  <si>
    <t>Comparte/Producción: evidencia lúdica de medimos para organizar la sala en Sala de 4 años</t>
  </si>
  <si>
    <t>Secuencia sugerida para carga semanal en Moodle/Catamarca Aprende+: Medimos para organizar la sala.</t>
  </si>
  <si>
    <t>Número, espacio, formas y medida</t>
  </si>
  <si>
    <t>Integración de saberes en un juego de feria o tienda.</t>
  </si>
  <si>
    <t>Personaliza/Activación: exploramos saberes previos sobre la feria matemática del jardín</t>
  </si>
  <si>
    <t>Aprende/Recurso central: Mora en Biblioteca del jardín descubre la feria matemática del jardín</t>
  </si>
  <si>
    <t>Crea/Práctica guiada: juego matemático para observar, comparar y resolver la feria matemática del jardín</t>
  </si>
  <si>
    <t>Comparte/Producción: evidencia lúdica de la feria matemática del jardín en Sala de 4 años</t>
  </si>
  <si>
    <t>Secuencia sugerida para carga semanal en Moodle/Catamarca Aprende+: La feria matemática del jardín.</t>
  </si>
  <si>
    <t>Registro y comunicación de resultados de juegos matemáticos.</t>
  </si>
  <si>
    <t>Personaliza/Activación: exploramos saberes previos sobre mi registro de juegos</t>
  </si>
  <si>
    <t>Aprende/Recurso central: Mora en Paseo por Pomán descubre mi registro de juegos</t>
  </si>
  <si>
    <t>Crea/Práctica guiada: juego matemático para observar, comparar y resolver mi registro de juegos</t>
  </si>
  <si>
    <t>Comparte/Producción: evidencia lúdica de mi registro de juegos en Sala de 4 años</t>
  </si>
  <si>
    <t>Secuencia sugerida para carga semanal en Moodle/Catamarca Aprende+: Mi registro de juegos.</t>
  </si>
  <si>
    <t>Resolución de problemas integradores con materiales de la sala.</t>
  </si>
  <si>
    <t>Personaliza/Activación: exploramos saberes previos sobre desafíos matemáticos por estaciones</t>
  </si>
  <si>
    <t>Aprende/Recurso central: Mora en Plaza de Choya descubre desafíos matemáticos por estaciones</t>
  </si>
  <si>
    <t>Crea/Práctica guiada: juego matemático para observar, comparar y resolver desafíos matemáticos por estaciones</t>
  </si>
  <si>
    <t>Comparte/Producción: evidencia lúdica de desafíos matemáticos por estaciones en Sala de 4 años</t>
  </si>
  <si>
    <t>Secuencia sugerida para carga semanal en Moodle/Catamarca Aprende+: Desafíos matemáticos por estaciones.</t>
  </si>
  <si>
    <t>Cierre anual: producción de evidencias de exploración matemática.</t>
  </si>
  <si>
    <t>Personaliza/Activación: exploramos saberes previos sobre mi muestra matemática</t>
  </si>
  <si>
    <t>Aprende/Recurso central: Mora en sala del jardín descubre mi muestra matemática</t>
  </si>
  <si>
    <t>Crea/Práctica guiada: juego matemático para observar, comparar y resolver mi muestra matemática</t>
  </si>
  <si>
    <t>Comparte/Producción: evidencia lúdica de mi muestra matemática en Sala de 4 años</t>
  </si>
  <si>
    <t>Secuencia sugerida para carga semanal en Moodle/Catamarca Aprende+: Mi muestra matemática.</t>
  </si>
  <si>
    <t>Socialización de aprendizajes matemáticos mediante juego y oralidad.</t>
  </si>
  <si>
    <t>Personaliza/Activación: exploramos saberes previos sobre compartimos cómo resolvimos</t>
  </si>
  <si>
    <t>Aprende/Recurso central: Mora en patio del jardín descubre compartimos cómo resolvimos</t>
  </si>
  <si>
    <t>Crea/Práctica guiada: juego matemático para observar, comparar y resolver compartimos cómo resolvimos</t>
  </si>
  <si>
    <t>Comparte/Producción: evidencia lúdica de compartimos cómo resolvimos en Sala de 4 años</t>
  </si>
  <si>
    <t>Secuencia sugerida para carga semanal en Moodle/Catamarca Aprende+: Compartimos cómo resolvimos.</t>
  </si>
  <si>
    <t>Reconocimiento de lugares en una serie ordenada hasta diez elementos.</t>
  </si>
  <si>
    <t>Personaliza/Activación: exploramos saberes previos sobre lugares en la fila: hasta el décimo</t>
  </si>
  <si>
    <t>Aprende/Recurso central: Mora en sala del jardín descubre lugares en la fila: hasta el décimo</t>
  </si>
  <si>
    <t>Crea/Práctica guiada: juego matemático para observar, comparar y resolver lugares en la fila: hasta el décimo</t>
  </si>
  <si>
    <t>Comparte/Producción: evidencia lúdica de lugares en la fila: hasta el décimo en Sala de 5 años</t>
  </si>
  <si>
    <t>Secuencia sugerida para carga semanal en Moodle/Catamarca Aprende+: Lugares en la fila: hasta el décimo.</t>
  </si>
  <si>
    <t>Recitado de la sucesión ordenada convencional hasta el 30.</t>
  </si>
  <si>
    <t>Personaliza/Activación: exploramos saberes previos sobre contamos hasta 30 en juegos</t>
  </si>
  <si>
    <t>Aprende/Recurso central: Mora en patio del jardín descubre contamos hasta 30 en juegos</t>
  </si>
  <si>
    <t>Crea/Práctica guiada: juego matemático para observar, comparar y resolver contamos hasta 30 en juegos</t>
  </si>
  <si>
    <t>Comparte/Producción: evidencia lúdica de contamos hasta 30 en juegos en Sala de 5 años</t>
  </si>
  <si>
    <t>Secuencia sugerida para carga semanal en Moodle/Catamarca Aprende+: Contamos hasta 30 en juegos.</t>
  </si>
  <si>
    <t>Conteo de colecciones y sobreconteo en menores cantidades.</t>
  </si>
  <si>
    <t>Personaliza/Activación: exploramos saberes previos sobre contar y seguir contando</t>
  </si>
  <si>
    <t>Aprende/Recurso central: Mora en Jardín Pelusín de Saujil descubre contar y seguir contando</t>
  </si>
  <si>
    <t>Crea/Práctica guiada: juego matemático para observar, comparar y resolver contar y seguir contando</t>
  </si>
  <si>
    <t>Comparte/Producción: evidencia lúdica de contar y seguir contando en Sala de 5 años</t>
  </si>
  <si>
    <t>Secuencia sugerida para carga semanal en Moodle/Catamarca Aprende+: Contar y seguir contando.</t>
  </si>
  <si>
    <t>Uso de números para comparar: equivalencia y orden.</t>
  </si>
  <si>
    <t>Aprende/Recurso central: Mora en Plaza 25 de Mayo descubre tantos como, más que y menos que</t>
  </si>
  <si>
    <t>Comparte/Producción: evidencia lúdica de tantos como, más que y menos que en Sala de 5 años</t>
  </si>
  <si>
    <t>Comparación de colecciones a partir de igualdad y desigualdad.</t>
  </si>
  <si>
    <t>Personaliza/Activación: exploramos saberes previos sobre comparamos colecciones</t>
  </si>
  <si>
    <t>Aprende/Recurso central: Mora en Feria de frutas de Catamarca descubre comparamos colecciones</t>
  </si>
  <si>
    <t>Crea/Práctica guiada: juego matemático para observar, comparar y resolver comparamos colecciones</t>
  </si>
  <si>
    <t>Comparte/Producción: evidencia lúdica de comparamos colecciones en Sala de 5 años</t>
  </si>
  <si>
    <t>Secuencia sugerida para carga semanal en Moodle/Catamarca Aprende+: Comparamos colecciones.</t>
  </si>
  <si>
    <t>Problemas de transformación de colecciones con aumento progresivo de cantidades.</t>
  </si>
  <si>
    <t>Personaliza/Activación: exploramos saberes previos sobre anticipamos cuántos habrá</t>
  </si>
  <si>
    <t>Aprende/Recurso central: Mora en Casa de la Niña Mora descubre anticipamos cuántos habrá</t>
  </si>
  <si>
    <t>Crea/Práctica guiada: juego matemático para observar, comparar y resolver anticipamos cuántos habrá</t>
  </si>
  <si>
    <t>Comparte/Producción: evidencia lúdica de anticipamos cuántos habrá en Sala de 5 años</t>
  </si>
  <si>
    <t>Secuencia sugerida para carga semanal en Moodle/Catamarca Aprende+: Anticipamos cuántos habrá.</t>
  </si>
  <si>
    <t>Uso de números para calcular: agregar, quitar y juntar.</t>
  </si>
  <si>
    <t>Personaliza/Activación: exploramos saberes previos sobre calcular con objetos: agregar y quitar</t>
  </si>
  <si>
    <t>Aprende/Recurso central: Mora en Museo y patio escolar descubre calcular con objetos: agregar y quitar</t>
  </si>
  <si>
    <t>Crea/Práctica guiada: juego matemático para observar, comparar y resolver calcular con objetos: agregar y quitar</t>
  </si>
  <si>
    <t>Comparte/Producción: evidencia lúdica de calcular con objetos: agregar y quitar en Sala de 5 años</t>
  </si>
  <si>
    <t>Secuencia sugerida para carga semanal en Moodle/Catamarca Aprende+: Calcular con objetos: agregar y quitar.</t>
  </si>
  <si>
    <t>Problemas de completar, avanzar y retroceder.</t>
  </si>
  <si>
    <t>Personaliza/Activación: exploramos saberes previos sobre tableros: avanzar, retroceder y completar</t>
  </si>
  <si>
    <t>Aprende/Recurso central: Mora en Parque Adán Quiroga descubre tableros: avanzar, retroceder y completar</t>
  </si>
  <si>
    <t>Crea/Práctica guiada: juego matemático para observar, comparar y resolver tableros: avanzar, retroceder y completar</t>
  </si>
  <si>
    <t>Comparte/Producción: evidencia lúdica de tableros: avanzar, retroceder y completar en Sala de 5 años</t>
  </si>
  <si>
    <t>Secuencia sugerida para carga semanal en Moodle/Catamarca Aprende+: Tableros: avanzar, retroceder y completar.</t>
  </si>
  <si>
    <t>Problemas de partir y repartir en situaciones contextualizadas.</t>
  </si>
  <si>
    <t>Personaliza/Activación: exploramos saberes previos sobre repartir materiales en grupos</t>
  </si>
  <si>
    <t>Aprende/Recurso central: Mora en Aula con sectores de juego descubre repartir materiales en grupos</t>
  </si>
  <si>
    <t>Crea/Práctica guiada: juego matemático para observar, comparar y resolver repartir materiales en grupos</t>
  </si>
  <si>
    <t>Comparte/Producción: evidencia lúdica de repartir materiales en grupos en Sala de 5 años</t>
  </si>
  <si>
    <t>Secuencia sugerida para carga semanal en Moodle/Catamarca Aprende+: Repartir materiales en grupos.</t>
  </si>
  <si>
    <t>Ampliación de la designación oral de la sucesión numérica.</t>
  </si>
  <si>
    <t>Personaliza/Activación: exploramos saberes previos sobre seguimos la serie desde distintos números</t>
  </si>
  <si>
    <t>Aprende/Recurso central: Mora en Biblioteca del jardín descubre seguimos la serie desde distintos números</t>
  </si>
  <si>
    <t>Crea/Práctica guiada: juego matemático para observar, comparar y resolver seguimos la serie desde distintos números</t>
  </si>
  <si>
    <t>Comparte/Producción: evidencia lúdica de seguimos la serie desde distintos números en Sala de 5 años</t>
  </si>
  <si>
    <t>Secuencia sugerida para carga semanal en Moodle/Catamarca Aprende+: Seguimos la serie desde distintos números.</t>
  </si>
  <si>
    <t>Exploración del orden de números de más de una cifra en contextos variados.</t>
  </si>
  <si>
    <t>Personaliza/Activación: exploramos saberes previos sobre números grandes en calendarios y carteles</t>
  </si>
  <si>
    <t>Aprende/Recurso central: Mora en Paseo por Pomán descubre números grandes en calendarios y carteles</t>
  </si>
  <si>
    <t>Crea/Práctica guiada: juego matemático para observar, comparar y resolver números grandes en calendarios y carteles</t>
  </si>
  <si>
    <t>Comparte/Producción: evidencia lúdica de números grandes en calendarios y carteles en Sala de 5 años</t>
  </si>
  <si>
    <t>Secuencia sugerida para carga semanal en Moodle/Catamarca Aprende+: Números grandes en calendarios y carteles.</t>
  </si>
  <si>
    <t>Exploración de la escritura de números de diversa cantidad de cifras.</t>
  </si>
  <si>
    <t>Personaliza/Activación: exploramos saberes previos sobre escribimos números para registrar</t>
  </si>
  <si>
    <t>Aprende/Recurso central: Mora en Plaza de Choya descubre escribimos números para registrar</t>
  </si>
  <si>
    <t>Crea/Práctica guiada: juego matemático para observar, comparar y resolver escribimos números para registrar</t>
  </si>
  <si>
    <t>Comparte/Producción: evidencia lúdica de escribimos números para registrar en Sala de 5 años</t>
  </si>
  <si>
    <t>Secuencia sugerida para carga semanal en Moodle/Catamarca Aprende+: Escribimos números para registrar.</t>
  </si>
  <si>
    <t>Uso de portadores numéricos para resolver problemas.</t>
  </si>
  <si>
    <t>Personaliza/Activación: exploramos saberes previos sobre calendario, banda numérica y cuadro</t>
  </si>
  <si>
    <t>Aprende/Recurso central: Mora en sala del jardín descubre calendario, banda numérica y cuadro</t>
  </si>
  <si>
    <t>Crea/Práctica guiada: juego matemático para observar, comparar y resolver calendario, banda numérica y cuadro</t>
  </si>
  <si>
    <t>Comparte/Producción: evidencia lúdica de calendario, banda numérica y cuadro en Sala de 5 años</t>
  </si>
  <si>
    <t>Secuencia sugerida para carga semanal en Moodle/Catamarca Aprende+: Calendario, banda numérica y cuadro.</t>
  </si>
  <si>
    <t>Registro de información numérica en juegos y situaciones cotidianas.</t>
  </si>
  <si>
    <t>Personaliza/Activación: exploramos saberes previos sobre puntajes, listas y registros</t>
  </si>
  <si>
    <t>Aprende/Recurso central: Mora en patio del jardín descubre puntajes, listas y registros</t>
  </si>
  <si>
    <t>Crea/Práctica guiada: juego matemático para observar, comparar y resolver puntajes, listas y registros</t>
  </si>
  <si>
    <t>Comparte/Producción: evidencia lúdica de puntajes, listas y registros en Sala de 5 años</t>
  </si>
  <si>
    <t>Secuencia sugerida para carga semanal en Moodle/Catamarca Aprende+: Puntajes, listas y registros.</t>
  </si>
  <si>
    <t>Estrategias personales para resolver problemas numéricos.</t>
  </si>
  <si>
    <t>Personaliza/Activación: exploramos saberes previos sobre ¿cómo lo pensaste?</t>
  </si>
  <si>
    <t>Aprende/Recurso central: Mora en Jardín Pelusín de Saujil descubre ¿cómo lo pensaste?</t>
  </si>
  <si>
    <t>Crea/Práctica guiada: juego matemático para observar, comparar y resolver ¿cómo lo pensaste?</t>
  </si>
  <si>
    <t>Comparte/Producción: evidencia lúdica de ¿cómo lo pensaste? en Sala de 5 años</t>
  </si>
  <si>
    <t>Secuencia sugerida para carga semanal en Moodle/Catamarca Aprende+: ¿Cómo lo pensaste?.</t>
  </si>
  <si>
    <t>Comunicación de procedimientos de conteo, comparación y cálculo.</t>
  </si>
  <si>
    <t>Personaliza/Activación: exploramos saberes previos sobre explicamos cómo contamos</t>
  </si>
  <si>
    <t>Aprende/Recurso central: Mora en Plaza 25 de Mayo descubre explicamos cómo contamos</t>
  </si>
  <si>
    <t>Crea/Práctica guiada: juego matemático para observar, comparar y resolver explicamos cómo contamos</t>
  </si>
  <si>
    <t>Comparte/Producción: evidencia lúdica de explicamos cómo contamos en Sala de 5 años</t>
  </si>
  <si>
    <t>Secuencia sugerida para carga semanal en Moodle/Catamarca Aprende+: Explicamos cómo contamos.</t>
  </si>
  <si>
    <t>Integración de conteo, comparación, escritura y cálculo en juegos reglados.</t>
  </si>
  <si>
    <t>Personaliza/Activación: exploramos saberes previos sobre gran juego de números</t>
  </si>
  <si>
    <t>Aprende/Recurso central: Mora en Feria de frutas de Catamarca descubre gran juego de números</t>
  </si>
  <si>
    <t>Crea/Práctica guiada: juego matemático para observar, comparar y resolver gran juego de números</t>
  </si>
  <si>
    <t>Comparte/Producción: evidencia lúdica de gran juego de números en Sala de 5 años</t>
  </si>
  <si>
    <t>Secuencia sugerida para carga semanal en Moodle/Catamarca Aprende+: Gran juego de números.</t>
  </si>
  <si>
    <t>Número y registro</t>
  </si>
  <si>
    <t>Recuperación post-receso: conteo, lectura y escritura de números.</t>
  </si>
  <si>
    <t>Personaliza/Activación: exploramos saberes previos sobre volvemos a los números</t>
  </si>
  <si>
    <t>Aprende/Recurso central: Mora en Casa de la Niña Mora descubre volvemos a los números</t>
  </si>
  <si>
    <t>Crea/Práctica guiada: juego matemático para observar, comparar y resolver volvemos a los números</t>
  </si>
  <si>
    <t>Comparte/Producción: evidencia lúdica de volvemos a los números en Sala de 5 años</t>
  </si>
  <si>
    <t>Secuencia sugerida para carga semanal en Moodle/Catamarca Aprende+: Volvemos a los números.</t>
  </si>
  <si>
    <t>Diseño de un juego numérico con reglas simples.</t>
  </si>
  <si>
    <t>Personaliza/Activación: exploramos saberes previos sobre creamos un juego con números</t>
  </si>
  <si>
    <t>Aprende/Recurso central: Mora en Museo y patio escolar descubre creamos un juego con números</t>
  </si>
  <si>
    <t>Crea/Práctica guiada: juego matemático para observar, comparar y resolver creamos un juego con números</t>
  </si>
  <si>
    <t>Comparte/Producción: evidencia lúdica de creamos un juego con números en Sala de 5 años</t>
  </si>
  <si>
    <t>Secuencia sugerida para carga semanal en Moodle/Catamarca Aprende+: Creamos un juego con números.</t>
  </si>
  <si>
    <t>Relaciones espaciales de proximidad: al lado de, arriba, abajo, cerca y lejos.</t>
  </si>
  <si>
    <t>Personaliza/Activación: exploramos saberes previos sobre ubicamos objetos y personas</t>
  </si>
  <si>
    <t>Aprende/Recurso central: Mora en Parque Adán Quiroga descubre ubicamos objetos y personas</t>
  </si>
  <si>
    <t>Crea/Práctica guiada: juego matemático para observar, comparar y resolver ubicamos objetos y personas</t>
  </si>
  <si>
    <t>Comparte/Producción: evidencia lúdica de ubicamos objetos y personas en Sala de 5 años</t>
  </si>
  <si>
    <t>Secuencia sugerida para carga semanal en Moodle/Catamarca Aprende+: Ubicamos objetos y personas.</t>
  </si>
  <si>
    <t>Uso de referencias espaciales para interpretar mensajes de posiciones.</t>
  </si>
  <si>
    <t>Personaliza/Activación: exploramos saberes previos sobre escuchamos pistas y ubicamos</t>
  </si>
  <si>
    <t>Aprende/Recurso central: Mora en Aula con sectores de juego descubre escuchamos pistas y ubicamos</t>
  </si>
  <si>
    <t>Crea/Práctica guiada: juego matemático para observar, comparar y resolver escuchamos pistas y ubicamos</t>
  </si>
  <si>
    <t>Comparte/Producción: evidencia lúdica de escuchamos pistas y ubicamos en Sala de 5 años</t>
  </si>
  <si>
    <t>Secuencia sugerida para carga semanal en Moodle/Catamarca Aprende+: Escuchamos pistas y ubicamos.</t>
  </si>
  <si>
    <t>Producción de mensajes que describan posiciones en distintos contextos.</t>
  </si>
  <si>
    <t>Personaliza/Activación: exploramos saberes previos sobre damos indicaciones precisas</t>
  </si>
  <si>
    <t>Aprende/Recurso central: Mora en Biblioteca del jardín descubre damos indicaciones precisas</t>
  </si>
  <si>
    <t>Crea/Práctica guiada: juego matemático para observar, comparar y resolver damos indicaciones precisas</t>
  </si>
  <si>
    <t>Comparte/Producción: evidencia lúdica de damos indicaciones precisas en Sala de 5 años</t>
  </si>
  <si>
    <t>Secuencia sugerida para carga semanal en Moodle/Catamarca Aprende+: Damos indicaciones precisas.</t>
  </si>
  <si>
    <t>Uso de dibujos para representar posiciones de objetos y personas.</t>
  </si>
  <si>
    <t>Personaliza/Activación: exploramos saberes previos sobre dibujamos dónde está</t>
  </si>
  <si>
    <t>Aprende/Recurso central: Mora en Paseo por Pomán descubre dibujamos dónde está</t>
  </si>
  <si>
    <t>Crea/Práctica guiada: juego matemático para observar, comparar y resolver dibujamos dónde está</t>
  </si>
  <si>
    <t>Comparte/Producción: evidencia lúdica de dibujamos dónde está en Sala de 5 años</t>
  </si>
  <si>
    <t>Secuencia sugerida para carga semanal en Moodle/Catamarca Aprende+: Dibujamos dónde está.</t>
  </si>
  <si>
    <t>Exploración y utilización de códigos para comunicar posiciones.</t>
  </si>
  <si>
    <t>Personaliza/Activación: exploramos saberes previos sobre inventamos códigos para ubicarnos</t>
  </si>
  <si>
    <t>Aprende/Recurso central: Mora en Plaza de Choya descubre inventamos códigos para ubicarnos</t>
  </si>
  <si>
    <t>Crea/Práctica guiada: juego matemático para observar, comparar y resolver inventamos códigos para ubicarnos</t>
  </si>
  <si>
    <t>Comparte/Producción: evidencia lúdica de inventamos códigos para ubicarnos en Sala de 5 años</t>
  </si>
  <si>
    <t>Secuencia sugerida para carga semanal en Moodle/Catamarca Aprende+: Inventamos códigos para ubicarnos.</t>
  </si>
  <si>
    <t>Uso e interpretación de esquemas, dibujos y gráficos para comunicar desplazamientos.</t>
  </si>
  <si>
    <t>Personaliza/Activación: exploramos saberes previos sobre mapas y recorridos del jardín</t>
  </si>
  <si>
    <t>Aprende/Recurso central: Mora en sala del jardín descubre mapas y recorridos del jardín</t>
  </si>
  <si>
    <t>Crea/Práctica guiada: juego matemático para observar, comparar y resolver mapas y recorridos del jardín</t>
  </si>
  <si>
    <t>Comparte/Producción: evidencia lúdica de mapas y recorridos del jardín en Sala de 5 años</t>
  </si>
  <si>
    <t>Secuencia sugerida para carga semanal en Moodle/Catamarca Aprende+: Mapas y recorridos del jardín.</t>
  </si>
  <si>
    <t>Comunicación y descripción de referencias espaciales con vocabulario específico.</t>
  </si>
  <si>
    <t>Personaliza/Activación: exploramos saberes previos sobre describimos recorridos</t>
  </si>
  <si>
    <t>Aprende/Recurso central: Mora en patio del jardín descubre describimos recorridos</t>
  </si>
  <si>
    <t>Crea/Práctica guiada: juego matemático para observar, comparar y resolver describimos recorridos</t>
  </si>
  <si>
    <t>Comparte/Producción: evidencia lúdica de describimos recorridos en Sala de 5 años</t>
  </si>
  <si>
    <t>Secuencia sugerida para carga semanal en Moodle/Catamarca Aprende+: Describimos recorridos.</t>
  </si>
  <si>
    <t>Reconocimiento y uso de relaciones espaciales en el espacio gráfico.</t>
  </si>
  <si>
    <t>Personaliza/Activación: exploramos saberes previos sobre ubicamos en la hoja y en cuadrículas</t>
  </si>
  <si>
    <t>Aprende/Recurso central: Mora en Jardín Pelusín de Saujil descubre ubicamos en la hoja y en cuadrículas</t>
  </si>
  <si>
    <t>Crea/Práctica guiada: juego matemático para observar, comparar y resolver ubicamos en la hoja y en cuadrículas</t>
  </si>
  <si>
    <t>Comparte/Producción: evidencia lúdica de ubicamos en la hoja y en cuadrículas en Sala de 5 años</t>
  </si>
  <si>
    <t>Secuencia sugerida para carga semanal en Moodle/Catamarca Aprende+: Ubicamos en la hoja y en cuadrículas.</t>
  </si>
  <si>
    <t>Exploración y reconocimiento de figuras geométricas: círculo, cuadrado, triángulo y rectángulo.</t>
  </si>
  <si>
    <t>Personaliza/Activación: exploramos saberes previos sobre figuras del entorno</t>
  </si>
  <si>
    <t>Aprende/Recurso central: Mora en Plaza 25 de Mayo descubre figuras del entorno</t>
  </si>
  <si>
    <t>Crea/Práctica guiada: juego matemático para observar, comparar y resolver figuras del entorno</t>
  </si>
  <si>
    <t>Comparte/Producción: evidencia lúdica de figuras del entorno en Sala de 5 años</t>
  </si>
  <si>
    <t>Secuencia sugerida para carga semanal en Moodle/Catamarca Aprende+: Figuras del entorno.</t>
  </si>
  <si>
    <t>Observación y descripción de cuerpos y figuras en objetos y elementos.</t>
  </si>
  <si>
    <t>Personaliza/Activación: exploramos saberes previos sobre cuerpos y figuras en el jardín</t>
  </si>
  <si>
    <t>Aprende/Recurso central: Mora en Feria de frutas de Catamarca descubre cuerpos y figuras en el jardín</t>
  </si>
  <si>
    <t>Crea/Práctica guiada: juego matemático para observar, comparar y resolver cuerpos y figuras en el jardín</t>
  </si>
  <si>
    <t>Comparte/Producción: evidencia lúdica de cuerpos y figuras en el jardín en Sala de 5 años</t>
  </si>
  <si>
    <t>Secuencia sugerida para carga semanal en Moodle/Catamarca Aprende+: Cuerpos y figuras en el jardín.</t>
  </si>
  <si>
    <t>Características de figuras y cuerpos: caras, lados y formas.</t>
  </si>
  <si>
    <t>Personaliza/Activación: exploramos saberes previos sobre caras, lados y formas</t>
  </si>
  <si>
    <t>Aprende/Recurso central: Mora en Casa de la Niña Mora descubre caras, lados y formas</t>
  </si>
  <si>
    <t>Crea/Práctica guiada: juego matemático para observar, comparar y resolver caras, lados y formas</t>
  </si>
  <si>
    <t>Comparte/Producción: evidencia lúdica de caras, lados y formas en Sala de 5 años</t>
  </si>
  <si>
    <t>Secuencia sugerida para carga semanal en Moodle/Catamarca Aprende+: Caras, lados y formas.</t>
  </si>
  <si>
    <t>Exploración de vocabulario específico: lados rectos y curvos, caras y vértices.</t>
  </si>
  <si>
    <t>Personaliza/Activación: exploramos saberes previos sobre palabras para describir formas</t>
  </si>
  <si>
    <t>Aprende/Recurso central: Mora en Museo y patio escolar descubre palabras para describir formas</t>
  </si>
  <si>
    <t>Crea/Práctica guiada: juego matemático para observar, comparar y resolver palabras para describir formas</t>
  </si>
  <si>
    <t>Comparte/Producción: evidencia lúdica de palabras para describir formas en Sala de 5 años</t>
  </si>
  <si>
    <t>Secuencia sugerida para carga semanal en Moodle/Catamarca Aprende+: Palabras para describir formas.</t>
  </si>
  <si>
    <t>Representación de formas bidimensionales y tridimensionales.</t>
  </si>
  <si>
    <t>Personaliza/Activación: exploramos saberes previos sobre dibujamos y construimos formas</t>
  </si>
  <si>
    <t>Aprende/Recurso central: Mora en Parque Adán Quiroga descubre dibujamos y construimos formas</t>
  </si>
  <si>
    <t>Crea/Práctica guiada: juego matemático para observar, comparar y resolver dibujamos y construimos formas</t>
  </si>
  <si>
    <t>Comparte/Producción: evidencia lúdica de dibujamos y construimos formas en Sala de 5 años</t>
  </si>
  <si>
    <t>Secuencia sugerida para carga semanal en Moodle/Catamarca Aprende+: Dibujamos y construimos formas.</t>
  </si>
  <si>
    <t>Resolución de rompecabezas de cuatro cortes y más.</t>
  </si>
  <si>
    <t>Personaliza/Activación: exploramos saberes previos sobre rompecabezas complejos</t>
  </si>
  <si>
    <t>Aprende/Recurso central: Mora en Aula con sectores de juego descubre rompecabezas complejos</t>
  </si>
  <si>
    <t>Crea/Práctica guiada: juego matemático para observar, comparar y resolver rompecabezas complejos</t>
  </si>
  <si>
    <t>Comparte/Producción: evidencia lúdica de rompecabezas complejos en Sala de 5 años</t>
  </si>
  <si>
    <t>Secuencia sugerida para carga semanal en Moodle/Catamarca Aprende+: Rompecabezas complejos.</t>
  </si>
  <si>
    <t>Apreciación global de longitud: más lejos, más cerca, más largo y más corto.</t>
  </si>
  <si>
    <t>Personaliza/Activación: exploramos saberes previos sobre comparamos longitudes</t>
  </si>
  <si>
    <t>Aprende/Recurso central: Mora en Biblioteca del jardín descubre comparamos longitudes</t>
  </si>
  <si>
    <t>Crea/Práctica guiada: juego matemático para observar, comparar y resolver comparamos longitudes</t>
  </si>
  <si>
    <t>Comparte/Producción: evidencia lúdica de comparamos longitudes en Sala de 5 años</t>
  </si>
  <si>
    <t>Secuencia sugerida para carga semanal en Moodle/Catamarca Aprende+: Comparamos longitudes.</t>
  </si>
  <si>
    <t>Comparación manual y por superposición de longitudes.</t>
  </si>
  <si>
    <t>Personaliza/Activación: exploramos saberes previos sobre medimos comparando</t>
  </si>
  <si>
    <t>Aprende/Recurso central: Mora en Paseo por Pomán descubre medimos comparando</t>
  </si>
  <si>
    <t>Crea/Práctica guiada: juego matemático para observar, comparar y resolver medimos comparando</t>
  </si>
  <si>
    <t>Comparte/Producción: evidencia lúdica de medimos comparando en Sala de 5 años</t>
  </si>
  <si>
    <t>Secuencia sugerida para carga semanal en Moodle/Catamarca Aprende+: Medimos comparando.</t>
  </si>
  <si>
    <t>Comparación de capacidades y pesos en contextos cotidianos del jardín.</t>
  </si>
  <si>
    <t>Personaliza/Activación: exploramos saberes previos sobre capacidad y peso en juegos</t>
  </si>
  <si>
    <t>Aprende/Recurso central: Mora en Plaza de Choya descubre capacidad y peso en juegos</t>
  </si>
  <si>
    <t>Crea/Práctica guiada: juego matemático para observar, comparar y resolver capacidad y peso en juegos</t>
  </si>
  <si>
    <t>Comparte/Producción: evidencia lúdica de capacidad y peso en juegos en Sala de 5 años</t>
  </si>
  <si>
    <t>Secuencia sugerida para carga semanal en Moodle/Catamarca Aprende+: Capacidad y peso en juegos.</t>
  </si>
  <si>
    <t>Medición del tiempo mediante instrumentos de uso social: calendario y reloj.</t>
  </si>
  <si>
    <t>Personaliza/Activación: exploramos saberes previos sobre tiempo: calendario, reloj y agenda</t>
  </si>
  <si>
    <t>Aprende/Recurso central: Mora en sala del jardín descubre tiempo: calendario, reloj y agenda</t>
  </si>
  <si>
    <t>Crea/Práctica guiada: juego matemático para observar, comparar y resolver tiempo: calendario, reloj y agenda</t>
  </si>
  <si>
    <t>Comparte/Producción: evidencia lúdica de tiempo: calendario, reloj y agenda en Sala de 5 años</t>
  </si>
  <si>
    <t>Secuencia sugerida para carga semanal en Moodle/Catamarca Aprende+: Tiempo: calendario, reloj y agenda.</t>
  </si>
  <si>
    <t>Medida y registro</t>
  </si>
  <si>
    <t>Interpretación de información en agendas, calendarios o registros.</t>
  </si>
  <si>
    <t>Personaliza/Activación: exploramos saberes previos sobre leemos información para organizarnos</t>
  </si>
  <si>
    <t>Aprende/Recurso central: Mora en patio del jardín descubre leemos información para organizarnos</t>
  </si>
  <si>
    <t>Crea/Práctica guiada: juego matemático para observar, comparar y resolver leemos información para organizarnos</t>
  </si>
  <si>
    <t>Comparte/Producción: evidencia lúdica de leemos información para organizarnos en Sala de 5 años</t>
  </si>
  <si>
    <t>Secuencia sugerida para carga semanal en Moodle/Catamarca Aprende+: Leemos información para organizarnos.</t>
  </si>
  <si>
    <t>Sala 3 | Catamarca Aprende+ | Matemática y Geometría</t>
  </si>
  <si>
    <t>Sala 4 | Catamarca Aprende+ | Matemática y Geometría</t>
  </si>
  <si>
    <t>Sala 5 | Catamarca Aprende+ | Matemática y Geometría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</si>
</sst>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134E4A"/>
      <name val="Carlito"/>
    </font>
    <font>
      <b/>
      <sz val="11"/>
      <color rgb="FFFFFFFF"/>
      <name val="Carlito"/>
    </font>
    <font>
      <sz val="11"/>
      <color rgb="FF134E4A"/>
      <name val="Carlito"/>
    </font>
    <font>
      <sz val="11"/>
      <color rgb="FF7F1D1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riterios" displayName="TablaCriterios" ref="A3:F9">
  <tableColumns count="6">
    <tableColumn id="1" xr3:uid="{00000000-0010-0000-0000-000001000000}" name="Dimensión"/>
    <tableColumn id="2" xr3:uid="{00000000-0010-0000-0000-000002000000}" name="Criterio aplicado"/>
    <tableColumn id="3" xr3:uid="{00000000-0010-0000-0000-000003000000}" name="Correspondencia con el diseño"/>
    <tableColumn id="4" xr3:uid="{00000000-0010-0000-0000-000004000000}" name="Implicancia para Moodle"/>
    <tableColumn id="5" xr3:uid="{00000000-0010-0000-0000-000005000000}" name="Observaciones"/>
    <tableColumn id="6" xr3:uid="{00000000-0010-0000-0000-000006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rogresion" displayName="TablaProgresion" ref="A3:E8">
  <tableColumns count="5">
    <tableColumn id="1" xr3:uid="{00000000-0010-0000-0100-000001000000}" name="Eje"/>
    <tableColumn id="2" xr3:uid="{00000000-0010-0000-0100-000002000000}" name="Sala de 3 años"/>
    <tableColumn id="3" xr3:uid="{00000000-0010-0000-0100-000003000000}" name="Sala de 4 años"/>
    <tableColumn id="4" xr3:uid="{00000000-0010-0000-0100-000004000000}" name="Sala de 5 años"/>
    <tableColumn id="5" xr3:uid="{00000000-0010-0000-0100-000005000000}" name="Criterio de progres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ronogramaGeneral" displayName="TablaCronogramaGeneral" ref="A3:N123">
  <tableColumns count="14">
    <tableColumn id="1" xr3:uid="{00000000-0010-0000-0200-000001000000}" name="Nivel"/>
    <tableColumn id="2" xr3:uid="{00000000-0010-0000-0200-000002000000}" name="Sala"/>
    <tableColumn id="3" xr3:uid="{00000000-0010-0000-0200-000003000000}" name="Semana calendario"/>
    <tableColumn id="4" xr3:uid="{00000000-0010-0000-0200-000004000000}" name="Mes"/>
    <tableColumn id="5" xr3:uid="{00000000-0010-0000-0200-000005000000}" name="Semana del mes"/>
    <tableColumn id="6" xr3:uid="{00000000-0010-0000-0200-000006000000}" name="Semana lectiva"/>
    <tableColumn id="7" xr3:uid="{00000000-0010-0000-0200-000007000000}" name="Estado"/>
    <tableColumn id="8" xr3:uid="{00000000-0010-0000-0200-000008000000}" name="Eje temático"/>
    <tableColumn id="9" xr3:uid="{00000000-0010-0000-0200-000009000000}" name="Contenido / recorte curricular semanal"/>
    <tableColumn id="10" xr3:uid="{00000000-0010-0000-0200-00000A000000}" name="Momento 1 - Personaliza / Activación"/>
    <tableColumn id="11" xr3:uid="{00000000-0010-0000-0200-00000B000000}" name="Momento 2 - Aprende / Recurso central"/>
    <tableColumn id="12" xr3:uid="{00000000-0010-0000-0200-00000C000000}" name="Momento 3 - Crea / Práctica guiada"/>
    <tableColumn id="13" xr3:uid="{00000000-0010-0000-0200-00000D000000}" name="Momento 4 - Comparte / Producción"/>
    <tableColumn id="14" xr3:uid="{00000000-0010-0000-0200-00000E000000}" name="Observaciones para Mood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Sala3" displayName="TablaSala3" ref="A3:N43">
  <tableColumns count="14">
    <tableColumn id="1" xr3:uid="{00000000-0010-0000-0300-000001000000}" name="Nivel"/>
    <tableColumn id="2" xr3:uid="{00000000-0010-0000-0300-000002000000}" name="Sala"/>
    <tableColumn id="3" xr3:uid="{00000000-0010-0000-0300-000003000000}" name="Semana calendario"/>
    <tableColumn id="4" xr3:uid="{00000000-0010-0000-0300-000004000000}" name="Mes"/>
    <tableColumn id="5" xr3:uid="{00000000-0010-0000-0300-000005000000}" name="Semana del mes"/>
    <tableColumn id="6" xr3:uid="{00000000-0010-0000-0300-000006000000}" name="Semana lectiva"/>
    <tableColumn id="7" xr3:uid="{00000000-0010-0000-0300-000007000000}" name="Estado"/>
    <tableColumn id="8" xr3:uid="{00000000-0010-0000-0300-000008000000}" name="Eje temático"/>
    <tableColumn id="9" xr3:uid="{00000000-0010-0000-0300-000009000000}" name="Contenido / recorte curricular semanal"/>
    <tableColumn id="10" xr3:uid="{00000000-0010-0000-0300-00000A000000}" name="Momento 1 - Personaliza / Activación"/>
    <tableColumn id="11" xr3:uid="{00000000-0010-0000-0300-00000B000000}" name="Momento 2 - Aprende / Recurso central"/>
    <tableColumn id="12" xr3:uid="{00000000-0010-0000-0300-00000C000000}" name="Momento 3 - Crea / Práctica guiada"/>
    <tableColumn id="13" xr3:uid="{00000000-0010-0000-0300-00000D000000}" name="Momento 4 - Comparte / Producción"/>
    <tableColumn id="14" xr3:uid="{00000000-0010-0000-0300-00000E000000}" name="Observaciones para Mood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Sala4" displayName="TablaSala4" ref="A3:N43">
  <tableColumns count="14">
    <tableColumn id="1" xr3:uid="{00000000-0010-0000-0400-000001000000}" name="Nivel"/>
    <tableColumn id="2" xr3:uid="{00000000-0010-0000-0400-000002000000}" name="Sala"/>
    <tableColumn id="3" xr3:uid="{00000000-0010-0000-0400-000003000000}" name="Semana calendario"/>
    <tableColumn id="4" xr3:uid="{00000000-0010-0000-0400-000004000000}" name="Mes"/>
    <tableColumn id="5" xr3:uid="{00000000-0010-0000-0400-000005000000}" name="Semana del mes"/>
    <tableColumn id="6" xr3:uid="{00000000-0010-0000-0400-000006000000}" name="Semana lectiva"/>
    <tableColumn id="7" xr3:uid="{00000000-0010-0000-0400-000007000000}" name="Estado"/>
    <tableColumn id="8" xr3:uid="{00000000-0010-0000-0400-000008000000}" name="Eje temático"/>
    <tableColumn id="9" xr3:uid="{00000000-0010-0000-0400-000009000000}" name="Contenido / recorte curricular semanal"/>
    <tableColumn id="10" xr3:uid="{00000000-0010-0000-0400-00000A000000}" name="Momento 1 - Personaliza / Activación"/>
    <tableColumn id="11" xr3:uid="{00000000-0010-0000-0400-00000B000000}" name="Momento 2 - Aprende / Recurso central"/>
    <tableColumn id="12" xr3:uid="{00000000-0010-0000-0400-00000C000000}" name="Momento 3 - Crea / Práctica guiada"/>
    <tableColumn id="13" xr3:uid="{00000000-0010-0000-0400-00000D000000}" name="Momento 4 - Comparte / Producción"/>
    <tableColumn id="14" xr3:uid="{00000000-0010-0000-0400-00000E000000}" name="Observaciones para Mood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Sala5" displayName="TablaSala5" ref="A3:N43">
  <tableColumns count="14">
    <tableColumn id="1" xr3:uid="{00000000-0010-0000-0500-000001000000}" name="Nivel"/>
    <tableColumn id="2" xr3:uid="{00000000-0010-0000-0500-000002000000}" name="Sala"/>
    <tableColumn id="3" xr3:uid="{00000000-0010-0000-0500-000003000000}" name="Semana calendario"/>
    <tableColumn id="4" xr3:uid="{00000000-0010-0000-0500-000004000000}" name="Mes"/>
    <tableColumn id="5" xr3:uid="{00000000-0010-0000-0500-000005000000}" name="Semana del mes"/>
    <tableColumn id="6" xr3:uid="{00000000-0010-0000-0500-000006000000}" name="Semana lectiva"/>
    <tableColumn id="7" xr3:uid="{00000000-0010-0000-0500-000007000000}" name="Estado"/>
    <tableColumn id="8" xr3:uid="{00000000-0010-0000-0500-000008000000}" name="Eje temático"/>
    <tableColumn id="9" xr3:uid="{00000000-0010-0000-0500-000009000000}" name="Contenido / recorte curricular semanal"/>
    <tableColumn id="10" xr3:uid="{00000000-0010-0000-0500-00000A000000}" name="Momento 1 - Personaliza / Activación"/>
    <tableColumn id="11" xr3:uid="{00000000-0010-0000-0500-00000B000000}" name="Momento 2 - Aprende / Recurso central"/>
    <tableColumn id="12" xr3:uid="{00000000-0010-0000-0500-00000C000000}" name="Momento 3 - Crea / Práctica guiada"/>
    <tableColumn id="13" xr3:uid="{00000000-0010-0000-0500-00000D000000}" name="Momento 4 - Comparte / Producción"/>
    <tableColumn id="14" xr3:uid="{00000000-0010-0000-0500-00000E000000}" name="Observaciones para Mood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B2" workbookViewId="0">
      <selection activeCell="I4" sqref="I4"/>
    </sheetView>
  </sheetViews>
  <sheetFormatPr baseColWidth="10" defaultColWidth="9" defaultRowHeight="14.25"/>
  <cols>
    <col min="1" max="1" width="20" customWidth="1"/>
    <col min="2" max="2" width="28" customWidth="1"/>
    <col min="3" max="6" width="18" customWidth="1"/>
    <col min="7" max="7" width="22" customWidth="1"/>
    <col min="8" max="8" width="28" customWidth="1"/>
  </cols>
  <sheetData>
    <row r="1" spans="1:8" ht="18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</row>
    <row r="3" spans="1:8" ht="30">
      <c r="A3" s="1" t="s">
        <v>1</v>
      </c>
      <c r="B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30">
      <c r="A4" s="1" t="s">
        <v>8</v>
      </c>
      <c r="B4" s="2" t="s">
        <v>9</v>
      </c>
      <c r="D4" s="1" t="s">
        <v>10</v>
      </c>
      <c r="E4" s="4">
        <v>40</v>
      </c>
      <c r="F4" s="4">
        <v>40</v>
      </c>
      <c r="G4" s="4">
        <v>40</v>
      </c>
      <c r="H4" s="4">
        <v>120</v>
      </c>
    </row>
    <row r="5" spans="1:8" ht="15">
      <c r="A5" s="1" t="s">
        <v>11</v>
      </c>
      <c r="B5" s="2" t="s">
        <v>12</v>
      </c>
      <c r="D5" s="1" t="s">
        <v>13</v>
      </c>
      <c r="E5" s="4">
        <v>38</v>
      </c>
      <c r="F5" s="4">
        <v>38</v>
      </c>
      <c r="G5" s="4">
        <v>38</v>
      </c>
      <c r="H5" s="4">
        <v>114</v>
      </c>
    </row>
    <row r="6" spans="1:8" ht="30">
      <c r="A6" s="1" t="s">
        <v>14</v>
      </c>
      <c r="B6" s="2" t="s">
        <v>15</v>
      </c>
      <c r="D6" s="1" t="s">
        <v>16</v>
      </c>
      <c r="E6" s="4">
        <v>2</v>
      </c>
      <c r="F6" s="4">
        <v>2</v>
      </c>
      <c r="G6" s="4">
        <v>2</v>
      </c>
      <c r="H6" s="4">
        <v>6</v>
      </c>
    </row>
    <row r="7" spans="1:8" ht="30">
      <c r="A7" s="1" t="s">
        <v>17</v>
      </c>
      <c r="B7" s="2" t="s">
        <v>18</v>
      </c>
      <c r="D7" s="1" t="s">
        <v>19</v>
      </c>
      <c r="E7" s="4" t="s">
        <v>20</v>
      </c>
      <c r="F7" s="4" t="s">
        <v>21</v>
      </c>
      <c r="G7" s="4" t="s">
        <v>21</v>
      </c>
      <c r="H7" s="4" t="s">
        <v>22</v>
      </c>
    </row>
    <row r="8" spans="1:8" ht="42.75">
      <c r="A8" s="1" t="s">
        <v>23</v>
      </c>
      <c r="B8" s="2" t="s">
        <v>24</v>
      </c>
      <c r="D8" s="1" t="s">
        <v>25</v>
      </c>
      <c r="E8" s="4" t="s">
        <v>26</v>
      </c>
      <c r="F8" s="4" t="s">
        <v>26</v>
      </c>
      <c r="G8" s="4" t="s">
        <v>26</v>
      </c>
      <c r="H8" s="4" t="s">
        <v>27</v>
      </c>
    </row>
    <row r="9" spans="1:8" ht="28.5">
      <c r="D9" s="1" t="s">
        <v>28</v>
      </c>
      <c r="E9" s="4" t="s">
        <v>29</v>
      </c>
      <c r="F9" s="4" t="s">
        <v>30</v>
      </c>
      <c r="G9" s="4" t="s">
        <v>31</v>
      </c>
      <c r="H9" s="4"/>
    </row>
    <row r="11" spans="1:8">
      <c r="A11" s="7" t="s">
        <v>32</v>
      </c>
      <c r="B11" s="7" t="s">
        <v>32</v>
      </c>
      <c r="C11" s="7" t="s">
        <v>32</v>
      </c>
      <c r="D11" s="7" t="s">
        <v>32</v>
      </c>
      <c r="E11" s="7" t="s">
        <v>32</v>
      </c>
      <c r="F11" s="7" t="s">
        <v>32</v>
      </c>
      <c r="G11" s="7" t="s">
        <v>32</v>
      </c>
      <c r="H11" s="7" t="s">
        <v>32</v>
      </c>
    </row>
    <row r="12" spans="1:8">
      <c r="A12" s="8" t="s">
        <v>33</v>
      </c>
      <c r="B12" s="8" t="s">
        <v>33</v>
      </c>
      <c r="C12" s="8" t="s">
        <v>33</v>
      </c>
      <c r="D12" s="9" t="s">
        <v>34</v>
      </c>
      <c r="E12" s="9" t="s">
        <v>4</v>
      </c>
      <c r="F12" s="9" t="s">
        <v>5</v>
      </c>
      <c r="G12" s="9" t="s">
        <v>6</v>
      </c>
      <c r="H12" s="9" t="s">
        <v>7</v>
      </c>
    </row>
    <row r="13" spans="1:8">
      <c r="A13" s="8" t="s">
        <v>33</v>
      </c>
      <c r="B13" s="8" t="s">
        <v>33</v>
      </c>
      <c r="C13" s="8" t="s">
        <v>33</v>
      </c>
      <c r="D13" s="7" t="s">
        <v>35</v>
      </c>
      <c r="E13" s="10">
        <f>COUNTIFS('Cronograma General'!B:B,"Sala de 3 años",'Cronograma General'!G:G,"Clase")</f>
        <v>38</v>
      </c>
      <c r="F13" s="10">
        <f>COUNTIFS('Cronograma General'!B:B,"Sala de 4 años",'Cronograma General'!G:G,"Clase")</f>
        <v>38</v>
      </c>
      <c r="G13" s="10">
        <f>COUNTIFS('Cronograma General'!B:B,"Sala de 5 años",'Cronograma General'!G:G,"Clase")</f>
        <v>38</v>
      </c>
      <c r="H13" s="10">
        <f>SUM(E13:G13)</f>
        <v>114</v>
      </c>
    </row>
    <row r="14" spans="1:8">
      <c r="A14" s="8" t="s">
        <v>33</v>
      </c>
      <c r="B14" s="8" t="s">
        <v>33</v>
      </c>
      <c r="C14" s="8" t="s">
        <v>33</v>
      </c>
      <c r="D14" s="7" t="s">
        <v>36</v>
      </c>
      <c r="E14" s="10">
        <f>COUNTIFS('Cronograma General'!B:B,"Sala de 3 años",'Cronograma General'!G:G,"Receso de invierno")</f>
        <v>2</v>
      </c>
      <c r="F14" s="10">
        <f>COUNTIFS('Cronograma General'!B:B,"Sala de 4 años",'Cronograma General'!G:G,"Receso de invierno")</f>
        <v>2</v>
      </c>
      <c r="G14" s="10">
        <f>COUNTIFS('Cronograma General'!B:B,"Sala de 5 años",'Cronograma General'!G:G,"Receso de invierno")</f>
        <v>2</v>
      </c>
      <c r="H14" s="10">
        <f>SUM(E14:G14)</f>
        <v>6</v>
      </c>
    </row>
    <row r="15" spans="1:8">
      <c r="A15" s="8" t="s">
        <v>33</v>
      </c>
      <c r="B15" s="8" t="s">
        <v>33</v>
      </c>
      <c r="C15" s="8" t="s">
        <v>33</v>
      </c>
      <c r="D15" s="7" t="s">
        <v>37</v>
      </c>
      <c r="E15" s="10">
        <f>COUNTIFS('Cronograma General'!B:B,"Sala de 3 años",'Cronograma General'!H:H,"*Número*")</f>
        <v>20</v>
      </c>
      <c r="F15" s="10">
        <f>COUNTIFS('Cronograma General'!B:B,"Sala de 4 años",'Cronograma General'!H:H,"*Número*")</f>
        <v>19</v>
      </c>
      <c r="G15" s="10">
        <f>COUNTIFS('Cronograma General'!B:B,"Sala de 5 años",'Cronograma General'!H:H,"*Número*")</f>
        <v>19</v>
      </c>
      <c r="H15" s="10">
        <f>SUM(E15:G15)</f>
        <v>58</v>
      </c>
    </row>
    <row r="16" spans="1:8">
      <c r="A16" s="8" t="s">
        <v>33</v>
      </c>
      <c r="B16" s="8" t="s">
        <v>33</v>
      </c>
      <c r="C16" s="8" t="s">
        <v>33</v>
      </c>
      <c r="D16" s="7" t="s">
        <v>38</v>
      </c>
      <c r="E16" s="10">
        <f>COUNTIFS('Cronograma General'!B:B,"Sala de 3 años",'Cronograma General'!H:H,"*Medida*")</f>
        <v>0</v>
      </c>
      <c r="F16" s="10">
        <f>COUNTIFS('Cronograma General'!B:B,"Sala de 4 años",'Cronograma General'!H:H,"*Medida*")</f>
        <v>11</v>
      </c>
      <c r="G16" s="10">
        <f>COUNTIFS('Cronograma General'!B:B,"Sala de 5 años",'Cronograma General'!H:H,"*Medida*")</f>
        <v>5</v>
      </c>
      <c r="H16" s="10">
        <f>SUM(E16:G16)</f>
        <v>16</v>
      </c>
    </row>
    <row r="17" spans="1:8">
      <c r="A17" s="8" t="s">
        <v>33</v>
      </c>
      <c r="B17" s="8" t="s">
        <v>33</v>
      </c>
      <c r="C17" s="8" t="s">
        <v>33</v>
      </c>
      <c r="D17" s="8" t="s">
        <v>33</v>
      </c>
      <c r="E17" s="8" t="s">
        <v>33</v>
      </c>
      <c r="F17" s="8" t="s">
        <v>33</v>
      </c>
      <c r="G17" s="8" t="s">
        <v>33</v>
      </c>
      <c r="H17" s="8" t="s">
        <v>33</v>
      </c>
    </row>
  </sheetData>
  <mergeCells count="3">
    <mergeCell ref="A1:H1"/>
    <mergeCell ref="A11:H11"/>
    <mergeCell ref="A12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A2" workbookViewId="0">
      <selection activeCell="B9" sqref="B9"/>
    </sheetView>
  </sheetViews>
  <sheetFormatPr baseColWidth="10" defaultColWidth="9" defaultRowHeight="14.25"/>
  <cols>
    <col min="1" max="1" width="20" customWidth="1"/>
    <col min="2" max="2" width="42" customWidth="1"/>
    <col min="3" max="3" width="48" customWidth="1"/>
    <col min="4" max="5" width="42" customWidth="1"/>
    <col min="6" max="6" width="34" customWidth="1"/>
  </cols>
  <sheetData>
    <row r="1" spans="1:6" ht="18">
      <c r="A1" s="6" t="s">
        <v>39</v>
      </c>
      <c r="B1" s="6" t="s">
        <v>39</v>
      </c>
      <c r="C1" s="6" t="s">
        <v>39</v>
      </c>
      <c r="D1" s="6" t="s">
        <v>39</v>
      </c>
      <c r="E1" s="6" t="s">
        <v>39</v>
      </c>
      <c r="F1" s="6" t="s">
        <v>39</v>
      </c>
    </row>
    <row r="3" spans="1:6" ht="15">
      <c r="A3" s="3" t="s">
        <v>40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45</v>
      </c>
    </row>
    <row r="4" spans="1:6" ht="42.75">
      <c r="A4" s="1" t="s">
        <v>1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spans="1:6" ht="42.75">
      <c r="A5" s="1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</row>
    <row r="6" spans="1:6" ht="42.75">
      <c r="A6" s="1" t="s">
        <v>57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</row>
    <row r="7" spans="1:6" ht="42.75">
      <c r="A7" s="1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</row>
    <row r="8" spans="1:6" ht="57">
      <c r="A8" s="1" t="s">
        <v>69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</row>
    <row r="9" spans="1:6" ht="42.75">
      <c r="A9" s="1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A7" sqref="A7"/>
    </sheetView>
  </sheetViews>
  <sheetFormatPr baseColWidth="10" defaultColWidth="9" defaultRowHeight="14.25"/>
  <cols>
    <col min="1" max="1" width="24" customWidth="1"/>
    <col min="2" max="2" width="42" customWidth="1"/>
    <col min="3" max="3" width="48" customWidth="1"/>
    <col min="4" max="5" width="52" customWidth="1"/>
  </cols>
  <sheetData>
    <row r="1" spans="1:5" ht="18">
      <c r="A1" s="6" t="s">
        <v>81</v>
      </c>
      <c r="B1" s="6" t="s">
        <v>81</v>
      </c>
      <c r="C1" s="6" t="s">
        <v>81</v>
      </c>
      <c r="D1" s="6" t="s">
        <v>81</v>
      </c>
      <c r="E1" s="6" t="s">
        <v>81</v>
      </c>
    </row>
    <row r="3" spans="1:5" ht="15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</row>
    <row r="4" spans="1:5" ht="57">
      <c r="A4" s="1" t="s">
        <v>87</v>
      </c>
      <c r="B4" s="4" t="s">
        <v>88</v>
      </c>
      <c r="C4" s="4" t="s">
        <v>89</v>
      </c>
      <c r="D4" s="4" t="s">
        <v>90</v>
      </c>
      <c r="E4" s="4" t="s">
        <v>91</v>
      </c>
    </row>
    <row r="5" spans="1:5" ht="57">
      <c r="A5" s="1" t="s">
        <v>92</v>
      </c>
      <c r="B5" s="4" t="s">
        <v>93</v>
      </c>
      <c r="C5" s="4" t="s">
        <v>94</v>
      </c>
      <c r="D5" s="4" t="s">
        <v>95</v>
      </c>
      <c r="E5" s="4" t="s">
        <v>96</v>
      </c>
    </row>
    <row r="6" spans="1:5" ht="42.75">
      <c r="A6" s="1" t="s">
        <v>97</v>
      </c>
      <c r="B6" s="4" t="s">
        <v>98</v>
      </c>
      <c r="C6" s="4" t="s">
        <v>99</v>
      </c>
      <c r="D6" s="4" t="s">
        <v>100</v>
      </c>
      <c r="E6" s="4" t="s">
        <v>101</v>
      </c>
    </row>
    <row r="7" spans="1:5" ht="42.75">
      <c r="A7" s="1" t="s">
        <v>38</v>
      </c>
      <c r="B7" s="4" t="s">
        <v>102</v>
      </c>
      <c r="C7" s="4" t="s">
        <v>103</v>
      </c>
      <c r="D7" s="4" t="s">
        <v>104</v>
      </c>
      <c r="E7" s="4" t="s">
        <v>105</v>
      </c>
    </row>
    <row r="8" spans="1:5" ht="42.75">
      <c r="A8" s="1" t="s">
        <v>106</v>
      </c>
      <c r="B8" s="4" t="s">
        <v>107</v>
      </c>
      <c r="C8" s="4" t="s">
        <v>108</v>
      </c>
      <c r="D8" s="4" t="s">
        <v>109</v>
      </c>
      <c r="E8" s="4" t="s">
        <v>110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3"/>
  <sheetViews>
    <sheetView workbookViewId="0">
      <selection sqref="A1:N1"/>
    </sheetView>
  </sheetViews>
  <sheetFormatPr baseColWidth="10" defaultColWidth="9" defaultRowHeight="14.25"/>
  <cols>
    <col min="1" max="1" width="16" customWidth="1"/>
    <col min="2" max="2" width="18" customWidth="1"/>
    <col min="3" max="3" width="15" customWidth="1"/>
    <col min="4" max="4" width="12" customWidth="1"/>
    <col min="5" max="6" width="13" customWidth="1"/>
    <col min="7" max="7" width="18" customWidth="1"/>
    <col min="8" max="8" width="28" customWidth="1"/>
    <col min="9" max="9" width="48" customWidth="1"/>
    <col min="10" max="11" width="42" customWidth="1"/>
    <col min="12" max="12" width="46" customWidth="1"/>
    <col min="13" max="13" width="42" customWidth="1"/>
    <col min="14" max="14" width="46" customWidth="1"/>
  </cols>
  <sheetData>
    <row r="1" spans="1:14" ht="18">
      <c r="A1" s="6" t="s">
        <v>111</v>
      </c>
      <c r="B1" s="6" t="s">
        <v>111</v>
      </c>
      <c r="C1" s="6" t="s">
        <v>111</v>
      </c>
      <c r="D1" s="6" t="s">
        <v>111</v>
      </c>
      <c r="E1" s="6" t="s">
        <v>111</v>
      </c>
      <c r="F1" s="6" t="s">
        <v>111</v>
      </c>
      <c r="G1" s="6" t="s">
        <v>111</v>
      </c>
      <c r="H1" s="6" t="s">
        <v>111</v>
      </c>
      <c r="I1" s="6" t="s">
        <v>111</v>
      </c>
      <c r="J1" s="6" t="s">
        <v>111</v>
      </c>
      <c r="K1" s="6" t="s">
        <v>111</v>
      </c>
      <c r="L1" s="6" t="s">
        <v>111</v>
      </c>
      <c r="M1" s="6" t="s">
        <v>111</v>
      </c>
      <c r="N1" s="6" t="s">
        <v>111</v>
      </c>
    </row>
    <row r="3" spans="1:14" ht="30">
      <c r="A3" s="3" t="s">
        <v>8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 t="s">
        <v>122</v>
      </c>
      <c r="M3" s="3" t="s">
        <v>123</v>
      </c>
      <c r="N3" s="3" t="s">
        <v>124</v>
      </c>
    </row>
    <row r="4" spans="1:14" ht="42.75">
      <c r="A4" s="4" t="s">
        <v>125</v>
      </c>
      <c r="B4" s="4" t="s">
        <v>83</v>
      </c>
      <c r="C4" s="4">
        <v>1</v>
      </c>
      <c r="D4" s="4" t="s">
        <v>126</v>
      </c>
      <c r="E4" s="4">
        <v>1</v>
      </c>
      <c r="F4" s="4">
        <v>1</v>
      </c>
      <c r="G4" s="4" t="s">
        <v>127</v>
      </c>
      <c r="H4" s="4" t="s">
        <v>87</v>
      </c>
      <c r="I4" s="4" t="s">
        <v>128</v>
      </c>
      <c r="J4" s="4" t="s">
        <v>129</v>
      </c>
      <c r="K4" s="4" t="s">
        <v>130</v>
      </c>
      <c r="L4" s="4" t="s">
        <v>131</v>
      </c>
      <c r="M4" s="4" t="s">
        <v>132</v>
      </c>
      <c r="N4" s="4" t="s">
        <v>133</v>
      </c>
    </row>
    <row r="5" spans="1:14" ht="42.75">
      <c r="A5" s="4" t="s">
        <v>125</v>
      </c>
      <c r="B5" s="4" t="s">
        <v>83</v>
      </c>
      <c r="C5" s="4">
        <v>2</v>
      </c>
      <c r="D5" s="4" t="s">
        <v>126</v>
      </c>
      <c r="E5" s="4">
        <v>2</v>
      </c>
      <c r="F5" s="4">
        <v>2</v>
      </c>
      <c r="G5" s="4" t="s">
        <v>127</v>
      </c>
      <c r="H5" s="4" t="s">
        <v>87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</row>
    <row r="6" spans="1:14" ht="42.75">
      <c r="A6" s="4" t="s">
        <v>125</v>
      </c>
      <c r="B6" s="4" t="s">
        <v>83</v>
      </c>
      <c r="C6" s="4">
        <v>3</v>
      </c>
      <c r="D6" s="4" t="s">
        <v>126</v>
      </c>
      <c r="E6" s="4">
        <v>3</v>
      </c>
      <c r="F6" s="4">
        <v>3</v>
      </c>
      <c r="G6" s="4" t="s">
        <v>127</v>
      </c>
      <c r="H6" s="4" t="s">
        <v>87</v>
      </c>
      <c r="I6" s="4" t="s">
        <v>140</v>
      </c>
      <c r="J6" s="4" t="s">
        <v>141</v>
      </c>
      <c r="K6" s="4" t="s">
        <v>142</v>
      </c>
      <c r="L6" s="4" t="s">
        <v>143</v>
      </c>
      <c r="M6" s="4" t="s">
        <v>144</v>
      </c>
      <c r="N6" s="4" t="s">
        <v>145</v>
      </c>
    </row>
    <row r="7" spans="1:14" ht="42.75">
      <c r="A7" s="4" t="s">
        <v>125</v>
      </c>
      <c r="B7" s="4" t="s">
        <v>83</v>
      </c>
      <c r="C7" s="4">
        <v>4</v>
      </c>
      <c r="D7" s="4" t="s">
        <v>126</v>
      </c>
      <c r="E7" s="4">
        <v>4</v>
      </c>
      <c r="F7" s="4">
        <v>4</v>
      </c>
      <c r="G7" s="4" t="s">
        <v>127</v>
      </c>
      <c r="H7" s="4" t="s">
        <v>87</v>
      </c>
      <c r="I7" s="4" t="s">
        <v>146</v>
      </c>
      <c r="J7" s="4" t="s">
        <v>147</v>
      </c>
      <c r="K7" s="4" t="s">
        <v>148</v>
      </c>
      <c r="L7" s="4" t="s">
        <v>149</v>
      </c>
      <c r="M7" s="4" t="s">
        <v>150</v>
      </c>
      <c r="N7" s="4" t="s">
        <v>151</v>
      </c>
    </row>
    <row r="8" spans="1:14" ht="42.75">
      <c r="A8" s="4" t="s">
        <v>125</v>
      </c>
      <c r="B8" s="4" t="s">
        <v>83</v>
      </c>
      <c r="C8" s="4">
        <v>5</v>
      </c>
      <c r="D8" s="4" t="s">
        <v>152</v>
      </c>
      <c r="E8" s="4">
        <v>1</v>
      </c>
      <c r="F8" s="4">
        <v>5</v>
      </c>
      <c r="G8" s="4" t="s">
        <v>127</v>
      </c>
      <c r="H8" s="4" t="s">
        <v>87</v>
      </c>
      <c r="I8" s="4" t="s">
        <v>153</v>
      </c>
      <c r="J8" s="4" t="s">
        <v>154</v>
      </c>
      <c r="K8" s="4" t="s">
        <v>155</v>
      </c>
      <c r="L8" s="4" t="s">
        <v>156</v>
      </c>
      <c r="M8" s="4" t="s">
        <v>157</v>
      </c>
      <c r="N8" s="4" t="s">
        <v>158</v>
      </c>
    </row>
    <row r="9" spans="1:14" ht="42.75">
      <c r="A9" s="4" t="s">
        <v>125</v>
      </c>
      <c r="B9" s="4" t="s">
        <v>83</v>
      </c>
      <c r="C9" s="4">
        <v>6</v>
      </c>
      <c r="D9" s="4" t="s">
        <v>152</v>
      </c>
      <c r="E9" s="4">
        <v>2</v>
      </c>
      <c r="F9" s="4">
        <v>6</v>
      </c>
      <c r="G9" s="4" t="s">
        <v>127</v>
      </c>
      <c r="H9" s="4" t="s">
        <v>87</v>
      </c>
      <c r="I9" s="4" t="s">
        <v>159</v>
      </c>
      <c r="J9" s="4" t="s">
        <v>160</v>
      </c>
      <c r="K9" s="4" t="s">
        <v>161</v>
      </c>
      <c r="L9" s="4" t="s">
        <v>162</v>
      </c>
      <c r="M9" s="4" t="s">
        <v>163</v>
      </c>
      <c r="N9" s="4" t="s">
        <v>164</v>
      </c>
    </row>
    <row r="10" spans="1:14" ht="42.75">
      <c r="A10" s="4" t="s">
        <v>125</v>
      </c>
      <c r="B10" s="4" t="s">
        <v>83</v>
      </c>
      <c r="C10" s="4">
        <v>7</v>
      </c>
      <c r="D10" s="4" t="s">
        <v>152</v>
      </c>
      <c r="E10" s="4">
        <v>3</v>
      </c>
      <c r="F10" s="4">
        <v>7</v>
      </c>
      <c r="G10" s="4" t="s">
        <v>127</v>
      </c>
      <c r="H10" s="4" t="s">
        <v>87</v>
      </c>
      <c r="I10" s="4" t="s">
        <v>165</v>
      </c>
      <c r="J10" s="4" t="s">
        <v>166</v>
      </c>
      <c r="K10" s="4" t="s">
        <v>167</v>
      </c>
      <c r="L10" s="4" t="s">
        <v>168</v>
      </c>
      <c r="M10" s="4" t="s">
        <v>169</v>
      </c>
      <c r="N10" s="4" t="s">
        <v>170</v>
      </c>
    </row>
    <row r="11" spans="1:14" ht="42.75">
      <c r="A11" s="4" t="s">
        <v>125</v>
      </c>
      <c r="B11" s="4" t="s">
        <v>83</v>
      </c>
      <c r="C11" s="4">
        <v>8</v>
      </c>
      <c r="D11" s="4" t="s">
        <v>152</v>
      </c>
      <c r="E11" s="4">
        <v>4</v>
      </c>
      <c r="F11" s="4">
        <v>8</v>
      </c>
      <c r="G11" s="4" t="s">
        <v>127</v>
      </c>
      <c r="H11" s="4" t="s">
        <v>87</v>
      </c>
      <c r="I11" s="4" t="s">
        <v>171</v>
      </c>
      <c r="J11" s="4" t="s">
        <v>172</v>
      </c>
      <c r="K11" s="4" t="s">
        <v>173</v>
      </c>
      <c r="L11" s="4" t="s">
        <v>174</v>
      </c>
      <c r="M11" s="4" t="s">
        <v>175</v>
      </c>
      <c r="N11" s="4" t="s">
        <v>176</v>
      </c>
    </row>
    <row r="12" spans="1:14" ht="42.75">
      <c r="A12" s="4" t="s">
        <v>125</v>
      </c>
      <c r="B12" s="4" t="s">
        <v>83</v>
      </c>
      <c r="C12" s="4">
        <v>9</v>
      </c>
      <c r="D12" s="4" t="s">
        <v>177</v>
      </c>
      <c r="E12" s="4">
        <v>1</v>
      </c>
      <c r="F12" s="4">
        <v>9</v>
      </c>
      <c r="G12" s="4" t="s">
        <v>127</v>
      </c>
      <c r="H12" s="4" t="s">
        <v>178</v>
      </c>
      <c r="I12" s="4" t="s">
        <v>179</v>
      </c>
      <c r="J12" s="4" t="s">
        <v>180</v>
      </c>
      <c r="K12" s="4" t="s">
        <v>181</v>
      </c>
      <c r="L12" s="4" t="s">
        <v>182</v>
      </c>
      <c r="M12" s="4" t="s">
        <v>183</v>
      </c>
      <c r="N12" s="4" t="s">
        <v>184</v>
      </c>
    </row>
    <row r="13" spans="1:14" ht="42.75">
      <c r="A13" s="4" t="s">
        <v>125</v>
      </c>
      <c r="B13" s="4" t="s">
        <v>83</v>
      </c>
      <c r="C13" s="4">
        <v>10</v>
      </c>
      <c r="D13" s="4" t="s">
        <v>177</v>
      </c>
      <c r="E13" s="4">
        <v>2</v>
      </c>
      <c r="F13" s="4">
        <v>10</v>
      </c>
      <c r="G13" s="4" t="s">
        <v>127</v>
      </c>
      <c r="H13" s="4" t="s">
        <v>178</v>
      </c>
      <c r="I13" s="4" t="s">
        <v>185</v>
      </c>
      <c r="J13" s="4" t="s">
        <v>186</v>
      </c>
      <c r="K13" s="4" t="s">
        <v>187</v>
      </c>
      <c r="L13" s="4" t="s">
        <v>188</v>
      </c>
      <c r="M13" s="4" t="s">
        <v>189</v>
      </c>
      <c r="N13" s="4" t="s">
        <v>190</v>
      </c>
    </row>
    <row r="14" spans="1:14" ht="42.75">
      <c r="A14" s="4" t="s">
        <v>125</v>
      </c>
      <c r="B14" s="4" t="s">
        <v>83</v>
      </c>
      <c r="C14" s="4">
        <v>11</v>
      </c>
      <c r="D14" s="4" t="s">
        <v>177</v>
      </c>
      <c r="E14" s="4">
        <v>3</v>
      </c>
      <c r="F14" s="4">
        <v>11</v>
      </c>
      <c r="G14" s="4" t="s">
        <v>127</v>
      </c>
      <c r="H14" s="4" t="s">
        <v>178</v>
      </c>
      <c r="I14" s="4" t="s">
        <v>191</v>
      </c>
      <c r="J14" s="4" t="s">
        <v>192</v>
      </c>
      <c r="K14" s="4" t="s">
        <v>193</v>
      </c>
      <c r="L14" s="4" t="s">
        <v>194</v>
      </c>
      <c r="M14" s="4" t="s">
        <v>195</v>
      </c>
      <c r="N14" s="4" t="s">
        <v>196</v>
      </c>
    </row>
    <row r="15" spans="1:14" ht="42.75">
      <c r="A15" s="4" t="s">
        <v>125</v>
      </c>
      <c r="B15" s="4" t="s">
        <v>83</v>
      </c>
      <c r="C15" s="4">
        <v>12</v>
      </c>
      <c r="D15" s="4" t="s">
        <v>177</v>
      </c>
      <c r="E15" s="4">
        <v>4</v>
      </c>
      <c r="F15" s="4">
        <v>12</v>
      </c>
      <c r="G15" s="4" t="s">
        <v>127</v>
      </c>
      <c r="H15" s="4" t="s">
        <v>178</v>
      </c>
      <c r="I15" s="4" t="s">
        <v>197</v>
      </c>
      <c r="J15" s="4" t="s">
        <v>198</v>
      </c>
      <c r="K15" s="4" t="s">
        <v>199</v>
      </c>
      <c r="L15" s="4" t="s">
        <v>200</v>
      </c>
      <c r="M15" s="4" t="s">
        <v>201</v>
      </c>
      <c r="N15" s="4" t="s">
        <v>202</v>
      </c>
    </row>
    <row r="16" spans="1:14" ht="42.75">
      <c r="A16" s="4" t="s">
        <v>125</v>
      </c>
      <c r="B16" s="4" t="s">
        <v>83</v>
      </c>
      <c r="C16" s="4">
        <v>13</v>
      </c>
      <c r="D16" s="4" t="s">
        <v>177</v>
      </c>
      <c r="E16" s="4">
        <v>5</v>
      </c>
      <c r="F16" s="4">
        <v>13</v>
      </c>
      <c r="G16" s="4" t="s">
        <v>127</v>
      </c>
      <c r="H16" s="4" t="s">
        <v>178</v>
      </c>
      <c r="I16" s="4" t="s">
        <v>203</v>
      </c>
      <c r="J16" s="4" t="s">
        <v>204</v>
      </c>
      <c r="K16" s="4" t="s">
        <v>205</v>
      </c>
      <c r="L16" s="4" t="s">
        <v>206</v>
      </c>
      <c r="M16" s="4" t="s">
        <v>207</v>
      </c>
      <c r="N16" s="4" t="s">
        <v>208</v>
      </c>
    </row>
    <row r="17" spans="1:14" ht="42.75">
      <c r="A17" s="4" t="s">
        <v>125</v>
      </c>
      <c r="B17" s="4" t="s">
        <v>83</v>
      </c>
      <c r="C17" s="4">
        <v>14</v>
      </c>
      <c r="D17" s="4" t="s">
        <v>209</v>
      </c>
      <c r="E17" s="4">
        <v>1</v>
      </c>
      <c r="F17" s="4">
        <v>14</v>
      </c>
      <c r="G17" s="4" t="s">
        <v>127</v>
      </c>
      <c r="H17" s="4" t="s">
        <v>178</v>
      </c>
      <c r="I17" s="4" t="s">
        <v>210</v>
      </c>
      <c r="J17" s="4" t="s">
        <v>211</v>
      </c>
      <c r="K17" s="4" t="s">
        <v>212</v>
      </c>
      <c r="L17" s="4" t="s">
        <v>213</v>
      </c>
      <c r="M17" s="4" t="s">
        <v>214</v>
      </c>
      <c r="N17" s="4" t="s">
        <v>215</v>
      </c>
    </row>
    <row r="18" spans="1:14" ht="42.75">
      <c r="A18" s="4" t="s">
        <v>125</v>
      </c>
      <c r="B18" s="4" t="s">
        <v>83</v>
      </c>
      <c r="C18" s="4">
        <v>15</v>
      </c>
      <c r="D18" s="4" t="s">
        <v>209</v>
      </c>
      <c r="E18" s="4">
        <v>2</v>
      </c>
      <c r="F18" s="4">
        <v>15</v>
      </c>
      <c r="G18" s="4" t="s">
        <v>127</v>
      </c>
      <c r="H18" s="4" t="s">
        <v>178</v>
      </c>
      <c r="I18" s="4" t="s">
        <v>216</v>
      </c>
      <c r="J18" s="4" t="s">
        <v>217</v>
      </c>
      <c r="K18" s="4" t="s">
        <v>218</v>
      </c>
      <c r="L18" s="4" t="s">
        <v>219</v>
      </c>
      <c r="M18" s="4" t="s">
        <v>220</v>
      </c>
      <c r="N18" s="4" t="s">
        <v>221</v>
      </c>
    </row>
    <row r="19" spans="1:14" ht="42.75">
      <c r="A19" s="4" t="s">
        <v>125</v>
      </c>
      <c r="B19" s="4" t="s">
        <v>83</v>
      </c>
      <c r="C19" s="4">
        <v>16</v>
      </c>
      <c r="D19" s="4" t="s">
        <v>209</v>
      </c>
      <c r="E19" s="4">
        <v>3</v>
      </c>
      <c r="F19" s="4">
        <v>16</v>
      </c>
      <c r="G19" s="4" t="s">
        <v>127</v>
      </c>
      <c r="H19" s="4" t="s">
        <v>178</v>
      </c>
      <c r="I19" s="4" t="s">
        <v>222</v>
      </c>
      <c r="J19" s="4" t="s">
        <v>223</v>
      </c>
      <c r="K19" s="4" t="s">
        <v>224</v>
      </c>
      <c r="L19" s="4" t="s">
        <v>225</v>
      </c>
      <c r="M19" s="4" t="s">
        <v>226</v>
      </c>
      <c r="N19" s="4" t="s">
        <v>227</v>
      </c>
    </row>
    <row r="20" spans="1:14" ht="42.75">
      <c r="A20" s="4" t="s">
        <v>125</v>
      </c>
      <c r="B20" s="4" t="s">
        <v>83</v>
      </c>
      <c r="C20" s="4">
        <v>17</v>
      </c>
      <c r="D20" s="4" t="s">
        <v>209</v>
      </c>
      <c r="E20" s="4">
        <v>4</v>
      </c>
      <c r="F20" s="4">
        <v>17</v>
      </c>
      <c r="G20" s="4" t="s">
        <v>127</v>
      </c>
      <c r="H20" s="4" t="s">
        <v>228</v>
      </c>
      <c r="I20" s="4" t="s">
        <v>229</v>
      </c>
      <c r="J20" s="4" t="s">
        <v>230</v>
      </c>
      <c r="K20" s="4" t="s">
        <v>231</v>
      </c>
      <c r="L20" s="4" t="s">
        <v>232</v>
      </c>
      <c r="M20" s="4" t="s">
        <v>233</v>
      </c>
      <c r="N20" s="4" t="s">
        <v>234</v>
      </c>
    </row>
    <row r="21" spans="1:14" ht="42.75">
      <c r="A21" s="4" t="s">
        <v>125</v>
      </c>
      <c r="B21" s="4" t="s">
        <v>83</v>
      </c>
      <c r="C21" s="4">
        <v>18</v>
      </c>
      <c r="D21" s="4" t="s">
        <v>235</v>
      </c>
      <c r="E21" s="4">
        <v>1</v>
      </c>
      <c r="F21" s="4">
        <v>18</v>
      </c>
      <c r="G21" s="4" t="s">
        <v>127</v>
      </c>
      <c r="H21" s="4" t="s">
        <v>228</v>
      </c>
      <c r="I21" s="4" t="s">
        <v>236</v>
      </c>
      <c r="J21" s="4" t="s">
        <v>237</v>
      </c>
      <c r="K21" s="4" t="s">
        <v>238</v>
      </c>
      <c r="L21" s="4" t="s">
        <v>239</v>
      </c>
      <c r="M21" s="4" t="s">
        <v>240</v>
      </c>
      <c r="N21" s="4" t="s">
        <v>241</v>
      </c>
    </row>
    <row r="22" spans="1:14" ht="42.75">
      <c r="A22" s="5" t="s">
        <v>125</v>
      </c>
      <c r="B22" s="5" t="s">
        <v>83</v>
      </c>
      <c r="C22" s="5">
        <v>19</v>
      </c>
      <c r="D22" s="5" t="s">
        <v>235</v>
      </c>
      <c r="E22" s="5">
        <v>2</v>
      </c>
      <c r="F22" s="5"/>
      <c r="G22" s="5" t="s">
        <v>242</v>
      </c>
      <c r="H22" s="5" t="s">
        <v>17</v>
      </c>
      <c r="I22" s="5" t="s">
        <v>243</v>
      </c>
      <c r="J22" s="5" t="s">
        <v>244</v>
      </c>
      <c r="K22" s="5" t="s">
        <v>245</v>
      </c>
      <c r="L22" s="5" t="s">
        <v>246</v>
      </c>
      <c r="M22" s="5" t="s">
        <v>247</v>
      </c>
      <c r="N22" s="5" t="s">
        <v>248</v>
      </c>
    </row>
    <row r="23" spans="1:14" ht="42.75">
      <c r="A23" s="5" t="s">
        <v>125</v>
      </c>
      <c r="B23" s="5" t="s">
        <v>83</v>
      </c>
      <c r="C23" s="5">
        <v>20</v>
      </c>
      <c r="D23" s="5" t="s">
        <v>235</v>
      </c>
      <c r="E23" s="5">
        <v>3</v>
      </c>
      <c r="F23" s="5"/>
      <c r="G23" s="5" t="s">
        <v>242</v>
      </c>
      <c r="H23" s="5" t="s">
        <v>17</v>
      </c>
      <c r="I23" s="5" t="s">
        <v>243</v>
      </c>
      <c r="J23" s="5" t="s">
        <v>244</v>
      </c>
      <c r="K23" s="5" t="s">
        <v>245</v>
      </c>
      <c r="L23" s="5" t="s">
        <v>246</v>
      </c>
      <c r="M23" s="5" t="s">
        <v>247</v>
      </c>
      <c r="N23" s="5" t="s">
        <v>248</v>
      </c>
    </row>
    <row r="24" spans="1:14" ht="42.75">
      <c r="A24" s="4" t="s">
        <v>125</v>
      </c>
      <c r="B24" s="4" t="s">
        <v>83</v>
      </c>
      <c r="C24" s="4">
        <v>21</v>
      </c>
      <c r="D24" s="4" t="s">
        <v>235</v>
      </c>
      <c r="E24" s="4">
        <v>4</v>
      </c>
      <c r="F24" s="4">
        <v>19</v>
      </c>
      <c r="G24" s="4" t="s">
        <v>127</v>
      </c>
      <c r="H24" s="4" t="s">
        <v>178</v>
      </c>
      <c r="I24" s="4" t="s">
        <v>249</v>
      </c>
      <c r="J24" s="4" t="s">
        <v>250</v>
      </c>
      <c r="K24" s="4" t="s">
        <v>251</v>
      </c>
      <c r="L24" s="4" t="s">
        <v>252</v>
      </c>
      <c r="M24" s="4" t="s">
        <v>253</v>
      </c>
      <c r="N24" s="4" t="s">
        <v>254</v>
      </c>
    </row>
    <row r="25" spans="1:14" ht="42.75">
      <c r="A25" s="4" t="s">
        <v>125</v>
      </c>
      <c r="B25" s="4" t="s">
        <v>83</v>
      </c>
      <c r="C25" s="4">
        <v>22</v>
      </c>
      <c r="D25" s="4" t="s">
        <v>235</v>
      </c>
      <c r="E25" s="4">
        <v>5</v>
      </c>
      <c r="F25" s="4">
        <v>20</v>
      </c>
      <c r="G25" s="4" t="s">
        <v>127</v>
      </c>
      <c r="H25" s="4" t="s">
        <v>97</v>
      </c>
      <c r="I25" s="4" t="s">
        <v>98</v>
      </c>
      <c r="J25" s="4" t="s">
        <v>255</v>
      </c>
      <c r="K25" s="4" t="s">
        <v>256</v>
      </c>
      <c r="L25" s="4" t="s">
        <v>257</v>
      </c>
      <c r="M25" s="4" t="s">
        <v>258</v>
      </c>
      <c r="N25" s="4" t="s">
        <v>259</v>
      </c>
    </row>
    <row r="26" spans="1:14" ht="42.75">
      <c r="A26" s="4" t="s">
        <v>125</v>
      </c>
      <c r="B26" s="4" t="s">
        <v>83</v>
      </c>
      <c r="C26" s="4">
        <v>23</v>
      </c>
      <c r="D26" s="4" t="s">
        <v>260</v>
      </c>
      <c r="E26" s="4">
        <v>1</v>
      </c>
      <c r="F26" s="4">
        <v>21</v>
      </c>
      <c r="G26" s="4" t="s">
        <v>127</v>
      </c>
      <c r="H26" s="4" t="s">
        <v>97</v>
      </c>
      <c r="I26" s="4" t="s">
        <v>261</v>
      </c>
      <c r="J26" s="4" t="s">
        <v>262</v>
      </c>
      <c r="K26" s="4" t="s">
        <v>263</v>
      </c>
      <c r="L26" s="4" t="s">
        <v>264</v>
      </c>
      <c r="M26" s="4" t="s">
        <v>265</v>
      </c>
      <c r="N26" s="4" t="s">
        <v>266</v>
      </c>
    </row>
    <row r="27" spans="1:14" ht="42.75">
      <c r="A27" s="4" t="s">
        <v>125</v>
      </c>
      <c r="B27" s="4" t="s">
        <v>83</v>
      </c>
      <c r="C27" s="4">
        <v>24</v>
      </c>
      <c r="D27" s="4" t="s">
        <v>260</v>
      </c>
      <c r="E27" s="4">
        <v>2</v>
      </c>
      <c r="F27" s="4">
        <v>22</v>
      </c>
      <c r="G27" s="4" t="s">
        <v>127</v>
      </c>
      <c r="H27" s="4" t="s">
        <v>97</v>
      </c>
      <c r="I27" s="4" t="s">
        <v>267</v>
      </c>
      <c r="J27" s="4" t="s">
        <v>268</v>
      </c>
      <c r="K27" s="4" t="s">
        <v>269</v>
      </c>
      <c r="L27" s="4" t="s">
        <v>270</v>
      </c>
      <c r="M27" s="4" t="s">
        <v>271</v>
      </c>
      <c r="N27" s="4" t="s">
        <v>272</v>
      </c>
    </row>
    <row r="28" spans="1:14" ht="42.75">
      <c r="A28" s="4" t="s">
        <v>125</v>
      </c>
      <c r="B28" s="4" t="s">
        <v>83</v>
      </c>
      <c r="C28" s="4">
        <v>25</v>
      </c>
      <c r="D28" s="4" t="s">
        <v>260</v>
      </c>
      <c r="E28" s="4">
        <v>3</v>
      </c>
      <c r="F28" s="4">
        <v>23</v>
      </c>
      <c r="G28" s="4" t="s">
        <v>127</v>
      </c>
      <c r="H28" s="4" t="s">
        <v>97</v>
      </c>
      <c r="I28" s="4" t="s">
        <v>273</v>
      </c>
      <c r="J28" s="4" t="s">
        <v>274</v>
      </c>
      <c r="K28" s="4" t="s">
        <v>275</v>
      </c>
      <c r="L28" s="4" t="s">
        <v>276</v>
      </c>
      <c r="M28" s="4" t="s">
        <v>277</v>
      </c>
      <c r="N28" s="4" t="s">
        <v>278</v>
      </c>
    </row>
    <row r="29" spans="1:14" ht="42.75">
      <c r="A29" s="4" t="s">
        <v>125</v>
      </c>
      <c r="B29" s="4" t="s">
        <v>83</v>
      </c>
      <c r="C29" s="4">
        <v>26</v>
      </c>
      <c r="D29" s="4" t="s">
        <v>260</v>
      </c>
      <c r="E29" s="4">
        <v>4</v>
      </c>
      <c r="F29" s="4">
        <v>24</v>
      </c>
      <c r="G29" s="4" t="s">
        <v>127</v>
      </c>
      <c r="H29" s="4" t="s">
        <v>97</v>
      </c>
      <c r="I29" s="4" t="s">
        <v>279</v>
      </c>
      <c r="J29" s="4" t="s">
        <v>280</v>
      </c>
      <c r="K29" s="4" t="s">
        <v>281</v>
      </c>
      <c r="L29" s="4" t="s">
        <v>282</v>
      </c>
      <c r="M29" s="4" t="s">
        <v>283</v>
      </c>
      <c r="N29" s="4" t="s">
        <v>284</v>
      </c>
    </row>
    <row r="30" spans="1:14" ht="42.75">
      <c r="A30" s="4" t="s">
        <v>125</v>
      </c>
      <c r="B30" s="4" t="s">
        <v>83</v>
      </c>
      <c r="C30" s="4">
        <v>27</v>
      </c>
      <c r="D30" s="4" t="s">
        <v>285</v>
      </c>
      <c r="E30" s="4">
        <v>1</v>
      </c>
      <c r="F30" s="4">
        <v>25</v>
      </c>
      <c r="G30" s="4" t="s">
        <v>127</v>
      </c>
      <c r="H30" s="4" t="s">
        <v>97</v>
      </c>
      <c r="I30" s="4" t="s">
        <v>286</v>
      </c>
      <c r="J30" s="4" t="s">
        <v>287</v>
      </c>
      <c r="K30" s="4" t="s">
        <v>288</v>
      </c>
      <c r="L30" s="4" t="s">
        <v>289</v>
      </c>
      <c r="M30" s="4" t="s">
        <v>290</v>
      </c>
      <c r="N30" s="4" t="s">
        <v>291</v>
      </c>
    </row>
    <row r="31" spans="1:14" ht="42.75">
      <c r="A31" s="4" t="s">
        <v>125</v>
      </c>
      <c r="B31" s="4" t="s">
        <v>83</v>
      </c>
      <c r="C31" s="4">
        <v>28</v>
      </c>
      <c r="D31" s="4" t="s">
        <v>285</v>
      </c>
      <c r="E31" s="4">
        <v>2</v>
      </c>
      <c r="F31" s="4">
        <v>26</v>
      </c>
      <c r="G31" s="4" t="s">
        <v>127</v>
      </c>
      <c r="H31" s="4" t="s">
        <v>97</v>
      </c>
      <c r="I31" s="4" t="s">
        <v>292</v>
      </c>
      <c r="J31" s="4" t="s">
        <v>293</v>
      </c>
      <c r="K31" s="4" t="s">
        <v>294</v>
      </c>
      <c r="L31" s="4" t="s">
        <v>295</v>
      </c>
      <c r="M31" s="4" t="s">
        <v>296</v>
      </c>
      <c r="N31" s="4" t="s">
        <v>297</v>
      </c>
    </row>
    <row r="32" spans="1:14" ht="42.75">
      <c r="A32" s="4" t="s">
        <v>125</v>
      </c>
      <c r="B32" s="4" t="s">
        <v>83</v>
      </c>
      <c r="C32" s="4">
        <v>29</v>
      </c>
      <c r="D32" s="4" t="s">
        <v>285</v>
      </c>
      <c r="E32" s="4">
        <v>3</v>
      </c>
      <c r="F32" s="4">
        <v>27</v>
      </c>
      <c r="G32" s="4" t="s">
        <v>127</v>
      </c>
      <c r="H32" s="4" t="s">
        <v>97</v>
      </c>
      <c r="I32" s="4" t="s">
        <v>298</v>
      </c>
      <c r="J32" s="4" t="s">
        <v>299</v>
      </c>
      <c r="K32" s="4" t="s">
        <v>300</v>
      </c>
      <c r="L32" s="4" t="s">
        <v>301</v>
      </c>
      <c r="M32" s="4" t="s">
        <v>302</v>
      </c>
      <c r="N32" s="4" t="s">
        <v>303</v>
      </c>
    </row>
    <row r="33" spans="1:14" ht="42.75">
      <c r="A33" s="4" t="s">
        <v>125</v>
      </c>
      <c r="B33" s="4" t="s">
        <v>83</v>
      </c>
      <c r="C33" s="4">
        <v>30</v>
      </c>
      <c r="D33" s="4" t="s">
        <v>285</v>
      </c>
      <c r="E33" s="4">
        <v>4</v>
      </c>
      <c r="F33" s="4">
        <v>28</v>
      </c>
      <c r="G33" s="4" t="s">
        <v>127</v>
      </c>
      <c r="H33" s="4" t="s">
        <v>87</v>
      </c>
      <c r="I33" s="4" t="s">
        <v>304</v>
      </c>
      <c r="J33" s="4" t="s">
        <v>305</v>
      </c>
      <c r="K33" s="4" t="s">
        <v>306</v>
      </c>
      <c r="L33" s="4" t="s">
        <v>307</v>
      </c>
      <c r="M33" s="4" t="s">
        <v>308</v>
      </c>
      <c r="N33" s="4" t="s">
        <v>309</v>
      </c>
    </row>
    <row r="34" spans="1:14" ht="42.75">
      <c r="A34" s="4" t="s">
        <v>125</v>
      </c>
      <c r="B34" s="4" t="s">
        <v>83</v>
      </c>
      <c r="C34" s="4">
        <v>31</v>
      </c>
      <c r="D34" s="4" t="s">
        <v>285</v>
      </c>
      <c r="E34" s="4">
        <v>5</v>
      </c>
      <c r="F34" s="4">
        <v>29</v>
      </c>
      <c r="G34" s="4" t="s">
        <v>127</v>
      </c>
      <c r="H34" s="4" t="s">
        <v>87</v>
      </c>
      <c r="I34" s="4" t="s">
        <v>310</v>
      </c>
      <c r="J34" s="4" t="s">
        <v>311</v>
      </c>
      <c r="K34" s="4" t="s">
        <v>312</v>
      </c>
      <c r="L34" s="4" t="s">
        <v>313</v>
      </c>
      <c r="M34" s="4" t="s">
        <v>314</v>
      </c>
      <c r="N34" s="4" t="s">
        <v>315</v>
      </c>
    </row>
    <row r="35" spans="1:14" ht="42.75">
      <c r="A35" s="4" t="s">
        <v>125</v>
      </c>
      <c r="B35" s="4" t="s">
        <v>83</v>
      </c>
      <c r="C35" s="4">
        <v>32</v>
      </c>
      <c r="D35" s="4" t="s">
        <v>316</v>
      </c>
      <c r="E35" s="4">
        <v>1</v>
      </c>
      <c r="F35" s="4">
        <v>30</v>
      </c>
      <c r="G35" s="4" t="s">
        <v>127</v>
      </c>
      <c r="H35" s="4" t="s">
        <v>87</v>
      </c>
      <c r="I35" s="4" t="s">
        <v>317</v>
      </c>
      <c r="J35" s="4" t="s">
        <v>318</v>
      </c>
      <c r="K35" s="4" t="s">
        <v>319</v>
      </c>
      <c r="L35" s="4" t="s">
        <v>320</v>
      </c>
      <c r="M35" s="4" t="s">
        <v>321</v>
      </c>
      <c r="N35" s="4" t="s">
        <v>322</v>
      </c>
    </row>
    <row r="36" spans="1:14" ht="42.75">
      <c r="A36" s="4" t="s">
        <v>125</v>
      </c>
      <c r="B36" s="4" t="s">
        <v>83</v>
      </c>
      <c r="C36" s="4">
        <v>33</v>
      </c>
      <c r="D36" s="4" t="s">
        <v>316</v>
      </c>
      <c r="E36" s="4">
        <v>2</v>
      </c>
      <c r="F36" s="4">
        <v>31</v>
      </c>
      <c r="G36" s="4" t="s">
        <v>127</v>
      </c>
      <c r="H36" s="4" t="s">
        <v>87</v>
      </c>
      <c r="I36" s="4" t="s">
        <v>323</v>
      </c>
      <c r="J36" s="4" t="s">
        <v>324</v>
      </c>
      <c r="K36" s="4" t="s">
        <v>325</v>
      </c>
      <c r="L36" s="4" t="s">
        <v>326</v>
      </c>
      <c r="M36" s="4" t="s">
        <v>327</v>
      </c>
      <c r="N36" s="4" t="s">
        <v>328</v>
      </c>
    </row>
    <row r="37" spans="1:14" ht="42.75">
      <c r="A37" s="4" t="s">
        <v>125</v>
      </c>
      <c r="B37" s="4" t="s">
        <v>83</v>
      </c>
      <c r="C37" s="4">
        <v>34</v>
      </c>
      <c r="D37" s="4" t="s">
        <v>316</v>
      </c>
      <c r="E37" s="4">
        <v>3</v>
      </c>
      <c r="F37" s="4">
        <v>32</v>
      </c>
      <c r="G37" s="4" t="s">
        <v>127</v>
      </c>
      <c r="H37" s="4" t="s">
        <v>329</v>
      </c>
      <c r="I37" s="4" t="s">
        <v>330</v>
      </c>
      <c r="J37" s="4" t="s">
        <v>331</v>
      </c>
      <c r="K37" s="4" t="s">
        <v>332</v>
      </c>
      <c r="L37" s="4" t="s">
        <v>333</v>
      </c>
      <c r="M37" s="4" t="s">
        <v>334</v>
      </c>
      <c r="N37" s="4" t="s">
        <v>335</v>
      </c>
    </row>
    <row r="38" spans="1:14" ht="42.75">
      <c r="A38" s="4" t="s">
        <v>125</v>
      </c>
      <c r="B38" s="4" t="s">
        <v>83</v>
      </c>
      <c r="C38" s="4">
        <v>35</v>
      </c>
      <c r="D38" s="4" t="s">
        <v>316</v>
      </c>
      <c r="E38" s="4">
        <v>4</v>
      </c>
      <c r="F38" s="4">
        <v>33</v>
      </c>
      <c r="G38" s="4" t="s">
        <v>127</v>
      </c>
      <c r="H38" s="4" t="s">
        <v>336</v>
      </c>
      <c r="I38" s="4" t="s">
        <v>337</v>
      </c>
      <c r="J38" s="4" t="s">
        <v>338</v>
      </c>
      <c r="K38" s="4" t="s">
        <v>339</v>
      </c>
      <c r="L38" s="4" t="s">
        <v>340</v>
      </c>
      <c r="M38" s="4" t="s">
        <v>341</v>
      </c>
      <c r="N38" s="4" t="s">
        <v>342</v>
      </c>
    </row>
    <row r="39" spans="1:14" ht="42.75">
      <c r="A39" s="4" t="s">
        <v>125</v>
      </c>
      <c r="B39" s="4" t="s">
        <v>83</v>
      </c>
      <c r="C39" s="4">
        <v>36</v>
      </c>
      <c r="D39" s="4" t="s">
        <v>343</v>
      </c>
      <c r="E39" s="4">
        <v>1</v>
      </c>
      <c r="F39" s="4">
        <v>34</v>
      </c>
      <c r="G39" s="4" t="s">
        <v>127</v>
      </c>
      <c r="H39" s="4" t="s">
        <v>87</v>
      </c>
      <c r="I39" s="4" t="s">
        <v>344</v>
      </c>
      <c r="J39" s="4" t="s">
        <v>345</v>
      </c>
      <c r="K39" s="4" t="s">
        <v>346</v>
      </c>
      <c r="L39" s="4" t="s">
        <v>347</v>
      </c>
      <c r="M39" s="4" t="s">
        <v>348</v>
      </c>
      <c r="N39" s="4" t="s">
        <v>349</v>
      </c>
    </row>
    <row r="40" spans="1:14" ht="42.75">
      <c r="A40" s="4" t="s">
        <v>125</v>
      </c>
      <c r="B40" s="4" t="s">
        <v>83</v>
      </c>
      <c r="C40" s="4">
        <v>37</v>
      </c>
      <c r="D40" s="4" t="s">
        <v>343</v>
      </c>
      <c r="E40" s="4">
        <v>2</v>
      </c>
      <c r="F40" s="4">
        <v>35</v>
      </c>
      <c r="G40" s="4" t="s">
        <v>127</v>
      </c>
      <c r="H40" s="4" t="s">
        <v>329</v>
      </c>
      <c r="I40" s="4" t="s">
        <v>350</v>
      </c>
      <c r="J40" s="4" t="s">
        <v>351</v>
      </c>
      <c r="K40" s="4" t="s">
        <v>352</v>
      </c>
      <c r="L40" s="4" t="s">
        <v>353</v>
      </c>
      <c r="M40" s="4" t="s">
        <v>354</v>
      </c>
      <c r="N40" s="4" t="s">
        <v>355</v>
      </c>
    </row>
    <row r="41" spans="1:14" ht="42.75">
      <c r="A41" s="4" t="s">
        <v>125</v>
      </c>
      <c r="B41" s="4" t="s">
        <v>83</v>
      </c>
      <c r="C41" s="4">
        <v>38</v>
      </c>
      <c r="D41" s="4" t="s">
        <v>343</v>
      </c>
      <c r="E41" s="4">
        <v>3</v>
      </c>
      <c r="F41" s="4">
        <v>36</v>
      </c>
      <c r="G41" s="4" t="s">
        <v>127</v>
      </c>
      <c r="H41" s="4" t="s">
        <v>329</v>
      </c>
      <c r="I41" s="4" t="s">
        <v>356</v>
      </c>
      <c r="J41" s="4" t="s">
        <v>357</v>
      </c>
      <c r="K41" s="4" t="s">
        <v>358</v>
      </c>
      <c r="L41" s="4" t="s">
        <v>359</v>
      </c>
      <c r="M41" s="4" t="s">
        <v>360</v>
      </c>
      <c r="N41" s="4" t="s">
        <v>361</v>
      </c>
    </row>
    <row r="42" spans="1:14" ht="42.75">
      <c r="A42" s="4" t="s">
        <v>125</v>
      </c>
      <c r="B42" s="4" t="s">
        <v>83</v>
      </c>
      <c r="C42" s="4">
        <v>39</v>
      </c>
      <c r="D42" s="4" t="s">
        <v>343</v>
      </c>
      <c r="E42" s="4">
        <v>4</v>
      </c>
      <c r="F42" s="4">
        <v>37</v>
      </c>
      <c r="G42" s="4" t="s">
        <v>127</v>
      </c>
      <c r="H42" s="4" t="s">
        <v>329</v>
      </c>
      <c r="I42" s="4" t="s">
        <v>362</v>
      </c>
      <c r="J42" s="4" t="s">
        <v>363</v>
      </c>
      <c r="K42" s="4" t="s">
        <v>364</v>
      </c>
      <c r="L42" s="4" t="s">
        <v>365</v>
      </c>
      <c r="M42" s="4" t="s">
        <v>366</v>
      </c>
      <c r="N42" s="4" t="s">
        <v>367</v>
      </c>
    </row>
    <row r="43" spans="1:14" ht="42.75">
      <c r="A43" s="4" t="s">
        <v>125</v>
      </c>
      <c r="B43" s="4" t="s">
        <v>83</v>
      </c>
      <c r="C43" s="4">
        <v>40</v>
      </c>
      <c r="D43" s="4" t="s">
        <v>368</v>
      </c>
      <c r="E43" s="4">
        <v>1</v>
      </c>
      <c r="F43" s="4">
        <v>38</v>
      </c>
      <c r="G43" s="4" t="s">
        <v>127</v>
      </c>
      <c r="H43" s="4" t="s">
        <v>329</v>
      </c>
      <c r="I43" s="4" t="s">
        <v>369</v>
      </c>
      <c r="J43" s="4" t="s">
        <v>370</v>
      </c>
      <c r="K43" s="4" t="s">
        <v>371</v>
      </c>
      <c r="L43" s="4" t="s">
        <v>372</v>
      </c>
      <c r="M43" s="4" t="s">
        <v>373</v>
      </c>
      <c r="N43" s="4" t="s">
        <v>374</v>
      </c>
    </row>
    <row r="44" spans="1:14" ht="42.75">
      <c r="A44" s="4" t="s">
        <v>125</v>
      </c>
      <c r="B44" s="4" t="s">
        <v>84</v>
      </c>
      <c r="C44" s="4">
        <v>1</v>
      </c>
      <c r="D44" s="4" t="s">
        <v>126</v>
      </c>
      <c r="E44" s="4">
        <v>1</v>
      </c>
      <c r="F44" s="4">
        <v>1</v>
      </c>
      <c r="G44" s="4" t="s">
        <v>127</v>
      </c>
      <c r="H44" s="4" t="s">
        <v>375</v>
      </c>
      <c r="I44" s="4" t="s">
        <v>376</v>
      </c>
      <c r="J44" s="4" t="s">
        <v>377</v>
      </c>
      <c r="K44" s="4" t="s">
        <v>378</v>
      </c>
      <c r="L44" s="4" t="s">
        <v>379</v>
      </c>
      <c r="M44" s="4" t="s">
        <v>380</v>
      </c>
      <c r="N44" s="4" t="s">
        <v>381</v>
      </c>
    </row>
    <row r="45" spans="1:14" ht="42.75">
      <c r="A45" s="4" t="s">
        <v>125</v>
      </c>
      <c r="B45" s="4" t="s">
        <v>84</v>
      </c>
      <c r="C45" s="4">
        <v>2</v>
      </c>
      <c r="D45" s="4" t="s">
        <v>126</v>
      </c>
      <c r="E45" s="4">
        <v>2</v>
      </c>
      <c r="F45" s="4">
        <v>2</v>
      </c>
      <c r="G45" s="4" t="s">
        <v>127</v>
      </c>
      <c r="H45" s="4" t="s">
        <v>375</v>
      </c>
      <c r="I45" s="4" t="s">
        <v>382</v>
      </c>
      <c r="J45" s="4" t="s">
        <v>383</v>
      </c>
      <c r="K45" s="4" t="s">
        <v>384</v>
      </c>
      <c r="L45" s="4" t="s">
        <v>385</v>
      </c>
      <c r="M45" s="4" t="s">
        <v>386</v>
      </c>
      <c r="N45" s="4" t="s">
        <v>387</v>
      </c>
    </row>
    <row r="46" spans="1:14" ht="28.5">
      <c r="A46" s="4" t="s">
        <v>125</v>
      </c>
      <c r="B46" s="4" t="s">
        <v>84</v>
      </c>
      <c r="C46" s="4">
        <v>3</v>
      </c>
      <c r="D46" s="4" t="s">
        <v>126</v>
      </c>
      <c r="E46" s="4">
        <v>3</v>
      </c>
      <c r="F46" s="4">
        <v>3</v>
      </c>
      <c r="G46" s="4" t="s">
        <v>127</v>
      </c>
      <c r="H46" s="4" t="s">
        <v>375</v>
      </c>
      <c r="I46" s="4" t="s">
        <v>388</v>
      </c>
      <c r="J46" s="4" t="s">
        <v>389</v>
      </c>
      <c r="K46" s="4" t="s">
        <v>390</v>
      </c>
      <c r="L46" s="4" t="s">
        <v>391</v>
      </c>
      <c r="M46" s="4" t="s">
        <v>392</v>
      </c>
      <c r="N46" s="4" t="s">
        <v>393</v>
      </c>
    </row>
    <row r="47" spans="1:14" ht="42.75">
      <c r="A47" s="4" t="s">
        <v>125</v>
      </c>
      <c r="B47" s="4" t="s">
        <v>84</v>
      </c>
      <c r="C47" s="4">
        <v>4</v>
      </c>
      <c r="D47" s="4" t="s">
        <v>126</v>
      </c>
      <c r="E47" s="4">
        <v>4</v>
      </c>
      <c r="F47" s="4">
        <v>4</v>
      </c>
      <c r="G47" s="4" t="s">
        <v>127</v>
      </c>
      <c r="H47" s="4" t="s">
        <v>375</v>
      </c>
      <c r="I47" s="4" t="s">
        <v>394</v>
      </c>
      <c r="J47" s="4" t="s">
        <v>395</v>
      </c>
      <c r="K47" s="4" t="s">
        <v>396</v>
      </c>
      <c r="L47" s="4" t="s">
        <v>397</v>
      </c>
      <c r="M47" s="4" t="s">
        <v>398</v>
      </c>
      <c r="N47" s="4" t="s">
        <v>399</v>
      </c>
    </row>
    <row r="48" spans="1:14" ht="42.75">
      <c r="A48" s="4" t="s">
        <v>125</v>
      </c>
      <c r="B48" s="4" t="s">
        <v>84</v>
      </c>
      <c r="C48" s="4">
        <v>5</v>
      </c>
      <c r="D48" s="4" t="s">
        <v>152</v>
      </c>
      <c r="E48" s="4">
        <v>1</v>
      </c>
      <c r="F48" s="4">
        <v>5</v>
      </c>
      <c r="G48" s="4" t="s">
        <v>127</v>
      </c>
      <c r="H48" s="4" t="s">
        <v>375</v>
      </c>
      <c r="I48" s="4" t="s">
        <v>400</v>
      </c>
      <c r="J48" s="4" t="s">
        <v>401</v>
      </c>
      <c r="K48" s="4" t="s">
        <v>402</v>
      </c>
      <c r="L48" s="4" t="s">
        <v>403</v>
      </c>
      <c r="M48" s="4" t="s">
        <v>404</v>
      </c>
      <c r="N48" s="4" t="s">
        <v>405</v>
      </c>
    </row>
    <row r="49" spans="1:14" ht="28.5">
      <c r="A49" s="4" t="s">
        <v>125</v>
      </c>
      <c r="B49" s="4" t="s">
        <v>84</v>
      </c>
      <c r="C49" s="4">
        <v>6</v>
      </c>
      <c r="D49" s="4" t="s">
        <v>152</v>
      </c>
      <c r="E49" s="4">
        <v>2</v>
      </c>
      <c r="F49" s="4">
        <v>6</v>
      </c>
      <c r="G49" s="4" t="s">
        <v>127</v>
      </c>
      <c r="H49" s="4" t="s">
        <v>375</v>
      </c>
      <c r="I49" s="4" t="s">
        <v>406</v>
      </c>
      <c r="J49" s="4" t="s">
        <v>407</v>
      </c>
      <c r="K49" s="4" t="s">
        <v>408</v>
      </c>
      <c r="L49" s="4" t="s">
        <v>409</v>
      </c>
      <c r="M49" s="4" t="s">
        <v>410</v>
      </c>
      <c r="N49" s="4" t="s">
        <v>411</v>
      </c>
    </row>
    <row r="50" spans="1:14" ht="42.75">
      <c r="A50" s="4" t="s">
        <v>125</v>
      </c>
      <c r="B50" s="4" t="s">
        <v>84</v>
      </c>
      <c r="C50" s="4">
        <v>7</v>
      </c>
      <c r="D50" s="4" t="s">
        <v>152</v>
      </c>
      <c r="E50" s="4">
        <v>3</v>
      </c>
      <c r="F50" s="4">
        <v>7</v>
      </c>
      <c r="G50" s="4" t="s">
        <v>127</v>
      </c>
      <c r="H50" s="4" t="s">
        <v>375</v>
      </c>
      <c r="I50" s="4" t="s">
        <v>412</v>
      </c>
      <c r="J50" s="4" t="s">
        <v>413</v>
      </c>
      <c r="K50" s="4" t="s">
        <v>414</v>
      </c>
      <c r="L50" s="4" t="s">
        <v>415</v>
      </c>
      <c r="M50" s="4" t="s">
        <v>416</v>
      </c>
      <c r="N50" s="4" t="s">
        <v>417</v>
      </c>
    </row>
    <row r="51" spans="1:14" ht="42.75">
      <c r="A51" s="4" t="s">
        <v>125</v>
      </c>
      <c r="B51" s="4" t="s">
        <v>84</v>
      </c>
      <c r="C51" s="4">
        <v>8</v>
      </c>
      <c r="D51" s="4" t="s">
        <v>152</v>
      </c>
      <c r="E51" s="4">
        <v>4</v>
      </c>
      <c r="F51" s="4">
        <v>8</v>
      </c>
      <c r="G51" s="4" t="s">
        <v>127</v>
      </c>
      <c r="H51" s="4" t="s">
        <v>375</v>
      </c>
      <c r="I51" s="4" t="s">
        <v>418</v>
      </c>
      <c r="J51" s="4" t="s">
        <v>419</v>
      </c>
      <c r="K51" s="4" t="s">
        <v>420</v>
      </c>
      <c r="L51" s="4" t="s">
        <v>421</v>
      </c>
      <c r="M51" s="4" t="s">
        <v>422</v>
      </c>
      <c r="N51" s="4" t="s">
        <v>423</v>
      </c>
    </row>
    <row r="52" spans="1:14" ht="42.75">
      <c r="A52" s="4" t="s">
        <v>125</v>
      </c>
      <c r="B52" s="4" t="s">
        <v>84</v>
      </c>
      <c r="C52" s="4">
        <v>9</v>
      </c>
      <c r="D52" s="4" t="s">
        <v>177</v>
      </c>
      <c r="E52" s="4">
        <v>1</v>
      </c>
      <c r="F52" s="4">
        <v>9</v>
      </c>
      <c r="G52" s="4" t="s">
        <v>127</v>
      </c>
      <c r="H52" s="4" t="s">
        <v>375</v>
      </c>
      <c r="I52" s="4" t="s">
        <v>424</v>
      </c>
      <c r="J52" s="4" t="s">
        <v>425</v>
      </c>
      <c r="K52" s="4" t="s">
        <v>426</v>
      </c>
      <c r="L52" s="4" t="s">
        <v>427</v>
      </c>
      <c r="M52" s="4" t="s">
        <v>428</v>
      </c>
      <c r="N52" s="4" t="s">
        <v>429</v>
      </c>
    </row>
    <row r="53" spans="1:14" ht="42.75">
      <c r="A53" s="4" t="s">
        <v>125</v>
      </c>
      <c r="B53" s="4" t="s">
        <v>84</v>
      </c>
      <c r="C53" s="4">
        <v>10</v>
      </c>
      <c r="D53" s="4" t="s">
        <v>177</v>
      </c>
      <c r="E53" s="4">
        <v>2</v>
      </c>
      <c r="F53" s="4">
        <v>10</v>
      </c>
      <c r="G53" s="4" t="s">
        <v>127</v>
      </c>
      <c r="H53" s="4" t="s">
        <v>375</v>
      </c>
      <c r="I53" s="4" t="s">
        <v>430</v>
      </c>
      <c r="J53" s="4" t="s">
        <v>431</v>
      </c>
      <c r="K53" s="4" t="s">
        <v>432</v>
      </c>
      <c r="L53" s="4" t="s">
        <v>433</v>
      </c>
      <c r="M53" s="4" t="s">
        <v>434</v>
      </c>
      <c r="N53" s="4" t="s">
        <v>435</v>
      </c>
    </row>
    <row r="54" spans="1:14" ht="42.75">
      <c r="A54" s="4" t="s">
        <v>125</v>
      </c>
      <c r="B54" s="4" t="s">
        <v>84</v>
      </c>
      <c r="C54" s="4">
        <v>11</v>
      </c>
      <c r="D54" s="4" t="s">
        <v>177</v>
      </c>
      <c r="E54" s="4">
        <v>3</v>
      </c>
      <c r="F54" s="4">
        <v>11</v>
      </c>
      <c r="G54" s="4" t="s">
        <v>127</v>
      </c>
      <c r="H54" s="4" t="s">
        <v>375</v>
      </c>
      <c r="I54" s="4" t="s">
        <v>436</v>
      </c>
      <c r="J54" s="4" t="s">
        <v>437</v>
      </c>
      <c r="K54" s="4" t="s">
        <v>438</v>
      </c>
      <c r="L54" s="4" t="s">
        <v>439</v>
      </c>
      <c r="M54" s="4" t="s">
        <v>440</v>
      </c>
      <c r="N54" s="4" t="s">
        <v>441</v>
      </c>
    </row>
    <row r="55" spans="1:14" ht="42.75">
      <c r="A55" s="4" t="s">
        <v>125</v>
      </c>
      <c r="B55" s="4" t="s">
        <v>84</v>
      </c>
      <c r="C55" s="4">
        <v>12</v>
      </c>
      <c r="D55" s="4" t="s">
        <v>177</v>
      </c>
      <c r="E55" s="4">
        <v>4</v>
      </c>
      <c r="F55" s="4">
        <v>12</v>
      </c>
      <c r="G55" s="4" t="s">
        <v>127</v>
      </c>
      <c r="H55" s="4" t="s">
        <v>375</v>
      </c>
      <c r="I55" s="4" t="s">
        <v>442</v>
      </c>
      <c r="J55" s="4" t="s">
        <v>443</v>
      </c>
      <c r="K55" s="4" t="s">
        <v>444</v>
      </c>
      <c r="L55" s="4" t="s">
        <v>445</v>
      </c>
      <c r="M55" s="4" t="s">
        <v>446</v>
      </c>
      <c r="N55" s="4" t="s">
        <v>447</v>
      </c>
    </row>
    <row r="56" spans="1:14" ht="42.75">
      <c r="A56" s="4" t="s">
        <v>125</v>
      </c>
      <c r="B56" s="4" t="s">
        <v>84</v>
      </c>
      <c r="C56" s="4">
        <v>13</v>
      </c>
      <c r="D56" s="4" t="s">
        <v>177</v>
      </c>
      <c r="E56" s="4">
        <v>5</v>
      </c>
      <c r="F56" s="4">
        <v>13</v>
      </c>
      <c r="G56" s="4" t="s">
        <v>127</v>
      </c>
      <c r="H56" s="4" t="s">
        <v>375</v>
      </c>
      <c r="I56" s="4" t="s">
        <v>448</v>
      </c>
      <c r="J56" s="4" t="s">
        <v>449</v>
      </c>
      <c r="K56" s="4" t="s">
        <v>450</v>
      </c>
      <c r="L56" s="4" t="s">
        <v>451</v>
      </c>
      <c r="M56" s="4" t="s">
        <v>452</v>
      </c>
      <c r="N56" s="4" t="s">
        <v>453</v>
      </c>
    </row>
    <row r="57" spans="1:14" ht="28.5">
      <c r="A57" s="4" t="s">
        <v>125</v>
      </c>
      <c r="B57" s="4" t="s">
        <v>84</v>
      </c>
      <c r="C57" s="4">
        <v>14</v>
      </c>
      <c r="D57" s="4" t="s">
        <v>209</v>
      </c>
      <c r="E57" s="4">
        <v>1</v>
      </c>
      <c r="F57" s="4">
        <v>14</v>
      </c>
      <c r="G57" s="4" t="s">
        <v>127</v>
      </c>
      <c r="H57" s="4" t="s">
        <v>178</v>
      </c>
      <c r="I57" s="4" t="s">
        <v>454</v>
      </c>
      <c r="J57" s="4" t="s">
        <v>455</v>
      </c>
      <c r="K57" s="4" t="s">
        <v>456</v>
      </c>
      <c r="L57" s="4" t="s">
        <v>457</v>
      </c>
      <c r="M57" s="4" t="s">
        <v>458</v>
      </c>
      <c r="N57" s="4" t="s">
        <v>459</v>
      </c>
    </row>
    <row r="58" spans="1:14" ht="42.75">
      <c r="A58" s="4" t="s">
        <v>125</v>
      </c>
      <c r="B58" s="4" t="s">
        <v>84</v>
      </c>
      <c r="C58" s="4">
        <v>15</v>
      </c>
      <c r="D58" s="4" t="s">
        <v>209</v>
      </c>
      <c r="E58" s="4">
        <v>2</v>
      </c>
      <c r="F58" s="4">
        <v>15</v>
      </c>
      <c r="G58" s="4" t="s">
        <v>127</v>
      </c>
      <c r="H58" s="4" t="s">
        <v>178</v>
      </c>
      <c r="I58" s="4" t="s">
        <v>460</v>
      </c>
      <c r="J58" s="4" t="s">
        <v>461</v>
      </c>
      <c r="K58" s="4" t="s">
        <v>462</v>
      </c>
      <c r="L58" s="4" t="s">
        <v>463</v>
      </c>
      <c r="M58" s="4" t="s">
        <v>464</v>
      </c>
      <c r="N58" s="4" t="s">
        <v>465</v>
      </c>
    </row>
    <row r="59" spans="1:14" ht="42.75">
      <c r="A59" s="4" t="s">
        <v>125</v>
      </c>
      <c r="B59" s="4" t="s">
        <v>84</v>
      </c>
      <c r="C59" s="4">
        <v>16</v>
      </c>
      <c r="D59" s="4" t="s">
        <v>209</v>
      </c>
      <c r="E59" s="4">
        <v>3</v>
      </c>
      <c r="F59" s="4">
        <v>16</v>
      </c>
      <c r="G59" s="4" t="s">
        <v>127</v>
      </c>
      <c r="H59" s="4" t="s">
        <v>178</v>
      </c>
      <c r="I59" s="4" t="s">
        <v>466</v>
      </c>
      <c r="J59" s="4" t="s">
        <v>467</v>
      </c>
      <c r="K59" s="4" t="s">
        <v>468</v>
      </c>
      <c r="L59" s="4" t="s">
        <v>469</v>
      </c>
      <c r="M59" s="4" t="s">
        <v>470</v>
      </c>
      <c r="N59" s="4" t="s">
        <v>471</v>
      </c>
    </row>
    <row r="60" spans="1:14" ht="42.75">
      <c r="A60" s="4" t="s">
        <v>125</v>
      </c>
      <c r="B60" s="4" t="s">
        <v>84</v>
      </c>
      <c r="C60" s="4">
        <v>17</v>
      </c>
      <c r="D60" s="4" t="s">
        <v>209</v>
      </c>
      <c r="E60" s="4">
        <v>4</v>
      </c>
      <c r="F60" s="4">
        <v>17</v>
      </c>
      <c r="G60" s="4" t="s">
        <v>127</v>
      </c>
      <c r="H60" s="4" t="s">
        <v>178</v>
      </c>
      <c r="I60" s="4" t="s">
        <v>472</v>
      </c>
      <c r="J60" s="4" t="s">
        <v>473</v>
      </c>
      <c r="K60" s="4" t="s">
        <v>474</v>
      </c>
      <c r="L60" s="4" t="s">
        <v>475</v>
      </c>
      <c r="M60" s="4" t="s">
        <v>476</v>
      </c>
      <c r="N60" s="4" t="s">
        <v>477</v>
      </c>
    </row>
    <row r="61" spans="1:14" ht="42.75">
      <c r="A61" s="4" t="s">
        <v>125</v>
      </c>
      <c r="B61" s="4" t="s">
        <v>84</v>
      </c>
      <c r="C61" s="4">
        <v>18</v>
      </c>
      <c r="D61" s="4" t="s">
        <v>235</v>
      </c>
      <c r="E61" s="4">
        <v>1</v>
      </c>
      <c r="F61" s="4">
        <v>18</v>
      </c>
      <c r="G61" s="4" t="s">
        <v>127</v>
      </c>
      <c r="H61" s="4" t="s">
        <v>178</v>
      </c>
      <c r="I61" s="4" t="s">
        <v>478</v>
      </c>
      <c r="J61" s="4" t="s">
        <v>479</v>
      </c>
      <c r="K61" s="4" t="s">
        <v>480</v>
      </c>
      <c r="L61" s="4" t="s">
        <v>481</v>
      </c>
      <c r="M61" s="4" t="s">
        <v>482</v>
      </c>
      <c r="N61" s="4" t="s">
        <v>483</v>
      </c>
    </row>
    <row r="62" spans="1:14" ht="42.75">
      <c r="A62" s="5" t="s">
        <v>125</v>
      </c>
      <c r="B62" s="5" t="s">
        <v>84</v>
      </c>
      <c r="C62" s="5">
        <v>19</v>
      </c>
      <c r="D62" s="5" t="s">
        <v>235</v>
      </c>
      <c r="E62" s="5">
        <v>2</v>
      </c>
      <c r="F62" s="5"/>
      <c r="G62" s="5" t="s">
        <v>242</v>
      </c>
      <c r="H62" s="5" t="s">
        <v>17</v>
      </c>
      <c r="I62" s="5" t="s">
        <v>243</v>
      </c>
      <c r="J62" s="5" t="s">
        <v>244</v>
      </c>
      <c r="K62" s="5" t="s">
        <v>245</v>
      </c>
      <c r="L62" s="5" t="s">
        <v>246</v>
      </c>
      <c r="M62" s="5" t="s">
        <v>247</v>
      </c>
      <c r="N62" s="5" t="s">
        <v>248</v>
      </c>
    </row>
    <row r="63" spans="1:14" ht="42.75">
      <c r="A63" s="5" t="s">
        <v>125</v>
      </c>
      <c r="B63" s="5" t="s">
        <v>84</v>
      </c>
      <c r="C63" s="5">
        <v>20</v>
      </c>
      <c r="D63" s="5" t="s">
        <v>235</v>
      </c>
      <c r="E63" s="5">
        <v>3</v>
      </c>
      <c r="F63" s="5"/>
      <c r="G63" s="5" t="s">
        <v>242</v>
      </c>
      <c r="H63" s="5" t="s">
        <v>17</v>
      </c>
      <c r="I63" s="5" t="s">
        <v>243</v>
      </c>
      <c r="J63" s="5" t="s">
        <v>244</v>
      </c>
      <c r="K63" s="5" t="s">
        <v>245</v>
      </c>
      <c r="L63" s="5" t="s">
        <v>246</v>
      </c>
      <c r="M63" s="5" t="s">
        <v>247</v>
      </c>
      <c r="N63" s="5" t="s">
        <v>248</v>
      </c>
    </row>
    <row r="64" spans="1:14" ht="42.75">
      <c r="A64" s="4" t="s">
        <v>125</v>
      </c>
      <c r="B64" s="4" t="s">
        <v>84</v>
      </c>
      <c r="C64" s="4">
        <v>21</v>
      </c>
      <c r="D64" s="4" t="s">
        <v>235</v>
      </c>
      <c r="E64" s="4">
        <v>4</v>
      </c>
      <c r="F64" s="4">
        <v>19</v>
      </c>
      <c r="G64" s="4" t="s">
        <v>127</v>
      </c>
      <c r="H64" s="4" t="s">
        <v>228</v>
      </c>
      <c r="I64" s="4" t="s">
        <v>484</v>
      </c>
      <c r="J64" s="4" t="s">
        <v>485</v>
      </c>
      <c r="K64" s="4" t="s">
        <v>486</v>
      </c>
      <c r="L64" s="4" t="s">
        <v>487</v>
      </c>
      <c r="M64" s="4" t="s">
        <v>488</v>
      </c>
      <c r="N64" s="4" t="s">
        <v>489</v>
      </c>
    </row>
    <row r="65" spans="1:14" ht="28.5">
      <c r="A65" s="4" t="s">
        <v>125</v>
      </c>
      <c r="B65" s="4" t="s">
        <v>84</v>
      </c>
      <c r="C65" s="4">
        <v>22</v>
      </c>
      <c r="D65" s="4" t="s">
        <v>235</v>
      </c>
      <c r="E65" s="4">
        <v>5</v>
      </c>
      <c r="F65" s="4">
        <v>20</v>
      </c>
      <c r="G65" s="4" t="s">
        <v>127</v>
      </c>
      <c r="H65" s="4" t="s">
        <v>178</v>
      </c>
      <c r="I65" s="4" t="s">
        <v>490</v>
      </c>
      <c r="J65" s="4" t="s">
        <v>491</v>
      </c>
      <c r="K65" s="4" t="s">
        <v>492</v>
      </c>
      <c r="L65" s="4" t="s">
        <v>493</v>
      </c>
      <c r="M65" s="4" t="s">
        <v>494</v>
      </c>
      <c r="N65" s="4" t="s">
        <v>495</v>
      </c>
    </row>
    <row r="66" spans="1:14" ht="42.75">
      <c r="A66" s="4" t="s">
        <v>125</v>
      </c>
      <c r="B66" s="4" t="s">
        <v>84</v>
      </c>
      <c r="C66" s="4">
        <v>23</v>
      </c>
      <c r="D66" s="4" t="s">
        <v>260</v>
      </c>
      <c r="E66" s="4">
        <v>1</v>
      </c>
      <c r="F66" s="4">
        <v>21</v>
      </c>
      <c r="G66" s="4" t="s">
        <v>127</v>
      </c>
      <c r="H66" s="4" t="s">
        <v>97</v>
      </c>
      <c r="I66" s="4" t="s">
        <v>496</v>
      </c>
      <c r="J66" s="4" t="s">
        <v>497</v>
      </c>
      <c r="K66" s="4" t="s">
        <v>498</v>
      </c>
      <c r="L66" s="4" t="s">
        <v>499</v>
      </c>
      <c r="M66" s="4" t="s">
        <v>500</v>
      </c>
      <c r="N66" s="4" t="s">
        <v>501</v>
      </c>
    </row>
    <row r="67" spans="1:14" ht="42.75">
      <c r="A67" s="4" t="s">
        <v>125</v>
      </c>
      <c r="B67" s="4" t="s">
        <v>84</v>
      </c>
      <c r="C67" s="4">
        <v>24</v>
      </c>
      <c r="D67" s="4" t="s">
        <v>260</v>
      </c>
      <c r="E67" s="4">
        <v>2</v>
      </c>
      <c r="F67" s="4">
        <v>22</v>
      </c>
      <c r="G67" s="4" t="s">
        <v>127</v>
      </c>
      <c r="H67" s="4" t="s">
        <v>97</v>
      </c>
      <c r="I67" s="4" t="s">
        <v>502</v>
      </c>
      <c r="J67" s="4" t="s">
        <v>503</v>
      </c>
      <c r="K67" s="4" t="s">
        <v>504</v>
      </c>
      <c r="L67" s="4" t="s">
        <v>505</v>
      </c>
      <c r="M67" s="4" t="s">
        <v>506</v>
      </c>
      <c r="N67" s="4" t="s">
        <v>507</v>
      </c>
    </row>
    <row r="68" spans="1:14" ht="28.5">
      <c r="A68" s="4" t="s">
        <v>125</v>
      </c>
      <c r="B68" s="4" t="s">
        <v>84</v>
      </c>
      <c r="C68" s="4">
        <v>25</v>
      </c>
      <c r="D68" s="4" t="s">
        <v>260</v>
      </c>
      <c r="E68" s="4">
        <v>3</v>
      </c>
      <c r="F68" s="4">
        <v>23</v>
      </c>
      <c r="G68" s="4" t="s">
        <v>127</v>
      </c>
      <c r="H68" s="4" t="s">
        <v>97</v>
      </c>
      <c r="I68" s="4" t="s">
        <v>508</v>
      </c>
      <c r="J68" s="4" t="s">
        <v>509</v>
      </c>
      <c r="K68" s="4" t="s">
        <v>510</v>
      </c>
      <c r="L68" s="4" t="s">
        <v>511</v>
      </c>
      <c r="M68" s="4" t="s">
        <v>512</v>
      </c>
      <c r="N68" s="4" t="s">
        <v>513</v>
      </c>
    </row>
    <row r="69" spans="1:14" ht="42.75">
      <c r="A69" s="4" t="s">
        <v>125</v>
      </c>
      <c r="B69" s="4" t="s">
        <v>84</v>
      </c>
      <c r="C69" s="4">
        <v>26</v>
      </c>
      <c r="D69" s="4" t="s">
        <v>260</v>
      </c>
      <c r="E69" s="4">
        <v>4</v>
      </c>
      <c r="F69" s="4">
        <v>24</v>
      </c>
      <c r="G69" s="4" t="s">
        <v>127</v>
      </c>
      <c r="H69" s="4" t="s">
        <v>97</v>
      </c>
      <c r="I69" s="4" t="s">
        <v>514</v>
      </c>
      <c r="J69" s="4" t="s">
        <v>515</v>
      </c>
      <c r="K69" s="4" t="s">
        <v>516</v>
      </c>
      <c r="L69" s="4" t="s">
        <v>517</v>
      </c>
      <c r="M69" s="4" t="s">
        <v>518</v>
      </c>
      <c r="N69" s="4" t="s">
        <v>519</v>
      </c>
    </row>
    <row r="70" spans="1:14" ht="42.75">
      <c r="A70" s="4" t="s">
        <v>125</v>
      </c>
      <c r="B70" s="4" t="s">
        <v>84</v>
      </c>
      <c r="C70" s="4">
        <v>27</v>
      </c>
      <c r="D70" s="4" t="s">
        <v>285</v>
      </c>
      <c r="E70" s="4">
        <v>1</v>
      </c>
      <c r="F70" s="4">
        <v>25</v>
      </c>
      <c r="G70" s="4" t="s">
        <v>127</v>
      </c>
      <c r="H70" s="4" t="s">
        <v>97</v>
      </c>
      <c r="I70" s="4" t="s">
        <v>520</v>
      </c>
      <c r="J70" s="4" t="s">
        <v>521</v>
      </c>
      <c r="K70" s="4" t="s">
        <v>522</v>
      </c>
      <c r="L70" s="4" t="s">
        <v>523</v>
      </c>
      <c r="M70" s="4" t="s">
        <v>524</v>
      </c>
      <c r="N70" s="4" t="s">
        <v>525</v>
      </c>
    </row>
    <row r="71" spans="1:14" ht="42.75">
      <c r="A71" s="4" t="s">
        <v>125</v>
      </c>
      <c r="B71" s="4" t="s">
        <v>84</v>
      </c>
      <c r="C71" s="4">
        <v>28</v>
      </c>
      <c r="D71" s="4" t="s">
        <v>285</v>
      </c>
      <c r="E71" s="4">
        <v>2</v>
      </c>
      <c r="F71" s="4">
        <v>26</v>
      </c>
      <c r="G71" s="4" t="s">
        <v>127</v>
      </c>
      <c r="H71" s="4" t="s">
        <v>97</v>
      </c>
      <c r="I71" s="4" t="s">
        <v>526</v>
      </c>
      <c r="J71" s="4" t="s">
        <v>527</v>
      </c>
      <c r="K71" s="4" t="s">
        <v>528</v>
      </c>
      <c r="L71" s="4" t="s">
        <v>529</v>
      </c>
      <c r="M71" s="4" t="s">
        <v>530</v>
      </c>
      <c r="N71" s="4" t="s">
        <v>531</v>
      </c>
    </row>
    <row r="72" spans="1:14" ht="42.75">
      <c r="A72" s="4" t="s">
        <v>125</v>
      </c>
      <c r="B72" s="4" t="s">
        <v>84</v>
      </c>
      <c r="C72" s="4">
        <v>29</v>
      </c>
      <c r="D72" s="4" t="s">
        <v>285</v>
      </c>
      <c r="E72" s="4">
        <v>3</v>
      </c>
      <c r="F72" s="4">
        <v>27</v>
      </c>
      <c r="G72" s="4" t="s">
        <v>127</v>
      </c>
      <c r="H72" s="4" t="s">
        <v>97</v>
      </c>
      <c r="I72" s="4" t="s">
        <v>532</v>
      </c>
      <c r="J72" s="4" t="s">
        <v>533</v>
      </c>
      <c r="K72" s="4" t="s">
        <v>534</v>
      </c>
      <c r="L72" s="4" t="s">
        <v>535</v>
      </c>
      <c r="M72" s="4" t="s">
        <v>536</v>
      </c>
      <c r="N72" s="4" t="s">
        <v>537</v>
      </c>
    </row>
    <row r="73" spans="1:14" ht="42.75">
      <c r="A73" s="4" t="s">
        <v>125</v>
      </c>
      <c r="B73" s="4" t="s">
        <v>84</v>
      </c>
      <c r="C73" s="4">
        <v>30</v>
      </c>
      <c r="D73" s="4" t="s">
        <v>285</v>
      </c>
      <c r="E73" s="4">
        <v>4</v>
      </c>
      <c r="F73" s="4">
        <v>28</v>
      </c>
      <c r="G73" s="4" t="s">
        <v>127</v>
      </c>
      <c r="H73" s="4" t="s">
        <v>38</v>
      </c>
      <c r="I73" s="4" t="s">
        <v>538</v>
      </c>
      <c r="J73" s="4" t="s">
        <v>539</v>
      </c>
      <c r="K73" s="4" t="s">
        <v>540</v>
      </c>
      <c r="L73" s="4" t="s">
        <v>541</v>
      </c>
      <c r="M73" s="4" t="s">
        <v>542</v>
      </c>
      <c r="N73" s="4" t="s">
        <v>543</v>
      </c>
    </row>
    <row r="74" spans="1:14" ht="42.75">
      <c r="A74" s="4" t="s">
        <v>125</v>
      </c>
      <c r="B74" s="4" t="s">
        <v>84</v>
      </c>
      <c r="C74" s="4">
        <v>31</v>
      </c>
      <c r="D74" s="4" t="s">
        <v>285</v>
      </c>
      <c r="E74" s="4">
        <v>5</v>
      </c>
      <c r="F74" s="4">
        <v>29</v>
      </c>
      <c r="G74" s="4" t="s">
        <v>127</v>
      </c>
      <c r="H74" s="4" t="s">
        <v>38</v>
      </c>
      <c r="I74" s="4" t="s">
        <v>544</v>
      </c>
      <c r="J74" s="4" t="s">
        <v>545</v>
      </c>
      <c r="K74" s="4" t="s">
        <v>546</v>
      </c>
      <c r="L74" s="4" t="s">
        <v>547</v>
      </c>
      <c r="M74" s="4" t="s">
        <v>548</v>
      </c>
      <c r="N74" s="4" t="s">
        <v>549</v>
      </c>
    </row>
    <row r="75" spans="1:14" ht="28.5">
      <c r="A75" s="4" t="s">
        <v>125</v>
      </c>
      <c r="B75" s="4" t="s">
        <v>84</v>
      </c>
      <c r="C75" s="4">
        <v>32</v>
      </c>
      <c r="D75" s="4" t="s">
        <v>316</v>
      </c>
      <c r="E75" s="4">
        <v>1</v>
      </c>
      <c r="F75" s="4">
        <v>30</v>
      </c>
      <c r="G75" s="4" t="s">
        <v>127</v>
      </c>
      <c r="H75" s="4" t="s">
        <v>38</v>
      </c>
      <c r="I75" s="4" t="s">
        <v>550</v>
      </c>
      <c r="J75" s="4" t="s">
        <v>551</v>
      </c>
      <c r="K75" s="4" t="s">
        <v>552</v>
      </c>
      <c r="L75" s="4" t="s">
        <v>553</v>
      </c>
      <c r="M75" s="4" t="s">
        <v>554</v>
      </c>
      <c r="N75" s="4" t="s">
        <v>555</v>
      </c>
    </row>
    <row r="76" spans="1:14" ht="28.5">
      <c r="A76" s="4" t="s">
        <v>125</v>
      </c>
      <c r="B76" s="4" t="s">
        <v>84</v>
      </c>
      <c r="C76" s="4">
        <v>33</v>
      </c>
      <c r="D76" s="4" t="s">
        <v>316</v>
      </c>
      <c r="E76" s="4">
        <v>2</v>
      </c>
      <c r="F76" s="4">
        <v>31</v>
      </c>
      <c r="G76" s="4" t="s">
        <v>127</v>
      </c>
      <c r="H76" s="4" t="s">
        <v>38</v>
      </c>
      <c r="I76" s="4" t="s">
        <v>556</v>
      </c>
      <c r="J76" s="4" t="s">
        <v>557</v>
      </c>
      <c r="K76" s="4" t="s">
        <v>558</v>
      </c>
      <c r="L76" s="4" t="s">
        <v>559</v>
      </c>
      <c r="M76" s="4" t="s">
        <v>560</v>
      </c>
      <c r="N76" s="4" t="s">
        <v>561</v>
      </c>
    </row>
    <row r="77" spans="1:14" ht="42.75">
      <c r="A77" s="4" t="s">
        <v>125</v>
      </c>
      <c r="B77" s="4" t="s">
        <v>84</v>
      </c>
      <c r="C77" s="4">
        <v>34</v>
      </c>
      <c r="D77" s="4" t="s">
        <v>316</v>
      </c>
      <c r="E77" s="4">
        <v>3</v>
      </c>
      <c r="F77" s="4">
        <v>32</v>
      </c>
      <c r="G77" s="4" t="s">
        <v>127</v>
      </c>
      <c r="H77" s="4" t="s">
        <v>38</v>
      </c>
      <c r="I77" s="4" t="s">
        <v>562</v>
      </c>
      <c r="J77" s="4" t="s">
        <v>563</v>
      </c>
      <c r="K77" s="4" t="s">
        <v>564</v>
      </c>
      <c r="L77" s="4" t="s">
        <v>565</v>
      </c>
      <c r="M77" s="4" t="s">
        <v>566</v>
      </c>
      <c r="N77" s="4" t="s">
        <v>567</v>
      </c>
    </row>
    <row r="78" spans="1:14" ht="42.75">
      <c r="A78" s="4" t="s">
        <v>125</v>
      </c>
      <c r="B78" s="4" t="s">
        <v>84</v>
      </c>
      <c r="C78" s="4">
        <v>35</v>
      </c>
      <c r="D78" s="4" t="s">
        <v>316</v>
      </c>
      <c r="E78" s="4">
        <v>4</v>
      </c>
      <c r="F78" s="4">
        <v>33</v>
      </c>
      <c r="G78" s="4" t="s">
        <v>127</v>
      </c>
      <c r="H78" s="4" t="s">
        <v>38</v>
      </c>
      <c r="I78" s="4" t="s">
        <v>568</v>
      </c>
      <c r="J78" s="4" t="s">
        <v>569</v>
      </c>
      <c r="K78" s="4" t="s">
        <v>570</v>
      </c>
      <c r="L78" s="4" t="s">
        <v>571</v>
      </c>
      <c r="M78" s="4" t="s">
        <v>572</v>
      </c>
      <c r="N78" s="4" t="s">
        <v>573</v>
      </c>
    </row>
    <row r="79" spans="1:14" ht="42.75">
      <c r="A79" s="4" t="s">
        <v>125</v>
      </c>
      <c r="B79" s="4" t="s">
        <v>84</v>
      </c>
      <c r="C79" s="4">
        <v>36</v>
      </c>
      <c r="D79" s="4" t="s">
        <v>343</v>
      </c>
      <c r="E79" s="4">
        <v>1</v>
      </c>
      <c r="F79" s="4">
        <v>34</v>
      </c>
      <c r="G79" s="4" t="s">
        <v>127</v>
      </c>
      <c r="H79" s="4" t="s">
        <v>574</v>
      </c>
      <c r="I79" s="4" t="s">
        <v>575</v>
      </c>
      <c r="J79" s="4" t="s">
        <v>576</v>
      </c>
      <c r="K79" s="4" t="s">
        <v>577</v>
      </c>
      <c r="L79" s="4" t="s">
        <v>578</v>
      </c>
      <c r="M79" s="4" t="s">
        <v>579</v>
      </c>
      <c r="N79" s="4" t="s">
        <v>580</v>
      </c>
    </row>
    <row r="80" spans="1:14" ht="28.5">
      <c r="A80" s="4" t="s">
        <v>125</v>
      </c>
      <c r="B80" s="4" t="s">
        <v>84</v>
      </c>
      <c r="C80" s="4">
        <v>37</v>
      </c>
      <c r="D80" s="4" t="s">
        <v>343</v>
      </c>
      <c r="E80" s="4">
        <v>2</v>
      </c>
      <c r="F80" s="4">
        <v>35</v>
      </c>
      <c r="G80" s="4" t="s">
        <v>127</v>
      </c>
      <c r="H80" s="4" t="s">
        <v>574</v>
      </c>
      <c r="I80" s="4" t="s">
        <v>581</v>
      </c>
      <c r="J80" s="4" t="s">
        <v>582</v>
      </c>
      <c r="K80" s="4" t="s">
        <v>583</v>
      </c>
      <c r="L80" s="4" t="s">
        <v>584</v>
      </c>
      <c r="M80" s="4" t="s">
        <v>585</v>
      </c>
      <c r="N80" s="4" t="s">
        <v>586</v>
      </c>
    </row>
    <row r="81" spans="1:14" ht="42.75">
      <c r="A81" s="4" t="s">
        <v>125</v>
      </c>
      <c r="B81" s="4" t="s">
        <v>84</v>
      </c>
      <c r="C81" s="4">
        <v>38</v>
      </c>
      <c r="D81" s="4" t="s">
        <v>343</v>
      </c>
      <c r="E81" s="4">
        <v>3</v>
      </c>
      <c r="F81" s="4">
        <v>36</v>
      </c>
      <c r="G81" s="4" t="s">
        <v>127</v>
      </c>
      <c r="H81" s="4" t="s">
        <v>574</v>
      </c>
      <c r="I81" s="4" t="s">
        <v>587</v>
      </c>
      <c r="J81" s="4" t="s">
        <v>588</v>
      </c>
      <c r="K81" s="4" t="s">
        <v>589</v>
      </c>
      <c r="L81" s="4" t="s">
        <v>590</v>
      </c>
      <c r="M81" s="4" t="s">
        <v>591</v>
      </c>
      <c r="N81" s="4" t="s">
        <v>592</v>
      </c>
    </row>
    <row r="82" spans="1:14" ht="28.5">
      <c r="A82" s="4" t="s">
        <v>125</v>
      </c>
      <c r="B82" s="4" t="s">
        <v>84</v>
      </c>
      <c r="C82" s="4">
        <v>39</v>
      </c>
      <c r="D82" s="4" t="s">
        <v>343</v>
      </c>
      <c r="E82" s="4">
        <v>4</v>
      </c>
      <c r="F82" s="4">
        <v>37</v>
      </c>
      <c r="G82" s="4" t="s">
        <v>127</v>
      </c>
      <c r="H82" s="4" t="s">
        <v>574</v>
      </c>
      <c r="I82" s="4" t="s">
        <v>593</v>
      </c>
      <c r="J82" s="4" t="s">
        <v>594</v>
      </c>
      <c r="K82" s="4" t="s">
        <v>595</v>
      </c>
      <c r="L82" s="4" t="s">
        <v>596</v>
      </c>
      <c r="M82" s="4" t="s">
        <v>597</v>
      </c>
      <c r="N82" s="4" t="s">
        <v>598</v>
      </c>
    </row>
    <row r="83" spans="1:14" ht="42.75">
      <c r="A83" s="4" t="s">
        <v>125</v>
      </c>
      <c r="B83" s="4" t="s">
        <v>84</v>
      </c>
      <c r="C83" s="4">
        <v>40</v>
      </c>
      <c r="D83" s="4" t="s">
        <v>368</v>
      </c>
      <c r="E83" s="4">
        <v>1</v>
      </c>
      <c r="F83" s="4">
        <v>38</v>
      </c>
      <c r="G83" s="4" t="s">
        <v>127</v>
      </c>
      <c r="H83" s="4" t="s">
        <v>574</v>
      </c>
      <c r="I83" s="4" t="s">
        <v>599</v>
      </c>
      <c r="J83" s="4" t="s">
        <v>600</v>
      </c>
      <c r="K83" s="4" t="s">
        <v>601</v>
      </c>
      <c r="L83" s="4" t="s">
        <v>602</v>
      </c>
      <c r="M83" s="4" t="s">
        <v>603</v>
      </c>
      <c r="N83" s="4" t="s">
        <v>604</v>
      </c>
    </row>
    <row r="84" spans="1:14" ht="42.75">
      <c r="A84" s="4" t="s">
        <v>125</v>
      </c>
      <c r="B84" s="4" t="s">
        <v>85</v>
      </c>
      <c r="C84" s="4">
        <v>1</v>
      </c>
      <c r="D84" s="4" t="s">
        <v>126</v>
      </c>
      <c r="E84" s="4">
        <v>1</v>
      </c>
      <c r="F84" s="4">
        <v>1</v>
      </c>
      <c r="G84" s="4" t="s">
        <v>127</v>
      </c>
      <c r="H84" s="4" t="s">
        <v>375</v>
      </c>
      <c r="I84" s="4" t="s">
        <v>605</v>
      </c>
      <c r="J84" s="4" t="s">
        <v>606</v>
      </c>
      <c r="K84" s="4" t="s">
        <v>607</v>
      </c>
      <c r="L84" s="4" t="s">
        <v>608</v>
      </c>
      <c r="M84" s="4" t="s">
        <v>609</v>
      </c>
      <c r="N84" s="4" t="s">
        <v>610</v>
      </c>
    </row>
    <row r="85" spans="1:14" ht="42.75">
      <c r="A85" s="4" t="s">
        <v>125</v>
      </c>
      <c r="B85" s="4" t="s">
        <v>85</v>
      </c>
      <c r="C85" s="4">
        <v>2</v>
      </c>
      <c r="D85" s="4" t="s">
        <v>126</v>
      </c>
      <c r="E85" s="4">
        <v>2</v>
      </c>
      <c r="F85" s="4">
        <v>2</v>
      </c>
      <c r="G85" s="4" t="s">
        <v>127</v>
      </c>
      <c r="H85" s="4" t="s">
        <v>375</v>
      </c>
      <c r="I85" s="4" t="s">
        <v>611</v>
      </c>
      <c r="J85" s="4" t="s">
        <v>612</v>
      </c>
      <c r="K85" s="4" t="s">
        <v>613</v>
      </c>
      <c r="L85" s="4" t="s">
        <v>614</v>
      </c>
      <c r="M85" s="4" t="s">
        <v>615</v>
      </c>
      <c r="N85" s="4" t="s">
        <v>616</v>
      </c>
    </row>
    <row r="86" spans="1:14" ht="42.75">
      <c r="A86" s="4" t="s">
        <v>125</v>
      </c>
      <c r="B86" s="4" t="s">
        <v>85</v>
      </c>
      <c r="C86" s="4">
        <v>3</v>
      </c>
      <c r="D86" s="4" t="s">
        <v>126</v>
      </c>
      <c r="E86" s="4">
        <v>3</v>
      </c>
      <c r="F86" s="4">
        <v>3</v>
      </c>
      <c r="G86" s="4" t="s">
        <v>127</v>
      </c>
      <c r="H86" s="4" t="s">
        <v>375</v>
      </c>
      <c r="I86" s="4" t="s">
        <v>617</v>
      </c>
      <c r="J86" s="4" t="s">
        <v>618</v>
      </c>
      <c r="K86" s="4" t="s">
        <v>619</v>
      </c>
      <c r="L86" s="4" t="s">
        <v>620</v>
      </c>
      <c r="M86" s="4" t="s">
        <v>621</v>
      </c>
      <c r="N86" s="4" t="s">
        <v>622</v>
      </c>
    </row>
    <row r="87" spans="1:14" ht="42.75">
      <c r="A87" s="4" t="s">
        <v>125</v>
      </c>
      <c r="B87" s="4" t="s">
        <v>85</v>
      </c>
      <c r="C87" s="4">
        <v>4</v>
      </c>
      <c r="D87" s="4" t="s">
        <v>126</v>
      </c>
      <c r="E87" s="4">
        <v>4</v>
      </c>
      <c r="F87" s="4">
        <v>4</v>
      </c>
      <c r="G87" s="4" t="s">
        <v>127</v>
      </c>
      <c r="H87" s="4" t="s">
        <v>375</v>
      </c>
      <c r="I87" s="4" t="s">
        <v>623</v>
      </c>
      <c r="J87" s="4" t="s">
        <v>377</v>
      </c>
      <c r="K87" s="4" t="s">
        <v>624</v>
      </c>
      <c r="L87" s="4" t="s">
        <v>379</v>
      </c>
      <c r="M87" s="4" t="s">
        <v>625</v>
      </c>
      <c r="N87" s="4" t="s">
        <v>381</v>
      </c>
    </row>
    <row r="88" spans="1:14" ht="42.75">
      <c r="A88" s="4" t="s">
        <v>125</v>
      </c>
      <c r="B88" s="4" t="s">
        <v>85</v>
      </c>
      <c r="C88" s="4">
        <v>5</v>
      </c>
      <c r="D88" s="4" t="s">
        <v>152</v>
      </c>
      <c r="E88" s="4">
        <v>1</v>
      </c>
      <c r="F88" s="4">
        <v>5</v>
      </c>
      <c r="G88" s="4" t="s">
        <v>127</v>
      </c>
      <c r="H88" s="4" t="s">
        <v>375</v>
      </c>
      <c r="I88" s="4" t="s">
        <v>626</v>
      </c>
      <c r="J88" s="4" t="s">
        <v>627</v>
      </c>
      <c r="K88" s="4" t="s">
        <v>628</v>
      </c>
      <c r="L88" s="4" t="s">
        <v>629</v>
      </c>
      <c r="M88" s="4" t="s">
        <v>630</v>
      </c>
      <c r="N88" s="4" t="s">
        <v>631</v>
      </c>
    </row>
    <row r="89" spans="1:14" ht="42.75">
      <c r="A89" s="4" t="s">
        <v>125</v>
      </c>
      <c r="B89" s="4" t="s">
        <v>85</v>
      </c>
      <c r="C89" s="4">
        <v>6</v>
      </c>
      <c r="D89" s="4" t="s">
        <v>152</v>
      </c>
      <c r="E89" s="4">
        <v>2</v>
      </c>
      <c r="F89" s="4">
        <v>6</v>
      </c>
      <c r="G89" s="4" t="s">
        <v>127</v>
      </c>
      <c r="H89" s="4" t="s">
        <v>375</v>
      </c>
      <c r="I89" s="4" t="s">
        <v>632</v>
      </c>
      <c r="J89" s="4" t="s">
        <v>633</v>
      </c>
      <c r="K89" s="4" t="s">
        <v>634</v>
      </c>
      <c r="L89" s="4" t="s">
        <v>635</v>
      </c>
      <c r="M89" s="4" t="s">
        <v>636</v>
      </c>
      <c r="N89" s="4" t="s">
        <v>637</v>
      </c>
    </row>
    <row r="90" spans="1:14" ht="42.75">
      <c r="A90" s="4" t="s">
        <v>125</v>
      </c>
      <c r="B90" s="4" t="s">
        <v>85</v>
      </c>
      <c r="C90" s="4">
        <v>7</v>
      </c>
      <c r="D90" s="4" t="s">
        <v>152</v>
      </c>
      <c r="E90" s="4">
        <v>3</v>
      </c>
      <c r="F90" s="4">
        <v>7</v>
      </c>
      <c r="G90" s="4" t="s">
        <v>127</v>
      </c>
      <c r="H90" s="4" t="s">
        <v>375</v>
      </c>
      <c r="I90" s="4" t="s">
        <v>638</v>
      </c>
      <c r="J90" s="4" t="s">
        <v>639</v>
      </c>
      <c r="K90" s="4" t="s">
        <v>640</v>
      </c>
      <c r="L90" s="4" t="s">
        <v>641</v>
      </c>
      <c r="M90" s="4" t="s">
        <v>642</v>
      </c>
      <c r="N90" s="4" t="s">
        <v>643</v>
      </c>
    </row>
    <row r="91" spans="1:14" ht="42.75">
      <c r="A91" s="4" t="s">
        <v>125</v>
      </c>
      <c r="B91" s="4" t="s">
        <v>85</v>
      </c>
      <c r="C91" s="4">
        <v>8</v>
      </c>
      <c r="D91" s="4" t="s">
        <v>152</v>
      </c>
      <c r="E91" s="4">
        <v>4</v>
      </c>
      <c r="F91" s="4">
        <v>8</v>
      </c>
      <c r="G91" s="4" t="s">
        <v>127</v>
      </c>
      <c r="H91" s="4" t="s">
        <v>375</v>
      </c>
      <c r="I91" s="4" t="s">
        <v>644</v>
      </c>
      <c r="J91" s="4" t="s">
        <v>645</v>
      </c>
      <c r="K91" s="4" t="s">
        <v>646</v>
      </c>
      <c r="L91" s="4" t="s">
        <v>647</v>
      </c>
      <c r="M91" s="4" t="s">
        <v>648</v>
      </c>
      <c r="N91" s="4" t="s">
        <v>649</v>
      </c>
    </row>
    <row r="92" spans="1:14" ht="42.75">
      <c r="A92" s="4" t="s">
        <v>125</v>
      </c>
      <c r="B92" s="4" t="s">
        <v>85</v>
      </c>
      <c r="C92" s="4">
        <v>9</v>
      </c>
      <c r="D92" s="4" t="s">
        <v>177</v>
      </c>
      <c r="E92" s="4">
        <v>1</v>
      </c>
      <c r="F92" s="4">
        <v>9</v>
      </c>
      <c r="G92" s="4" t="s">
        <v>127</v>
      </c>
      <c r="H92" s="4" t="s">
        <v>375</v>
      </c>
      <c r="I92" s="4" t="s">
        <v>650</v>
      </c>
      <c r="J92" s="4" t="s">
        <v>651</v>
      </c>
      <c r="K92" s="4" t="s">
        <v>652</v>
      </c>
      <c r="L92" s="4" t="s">
        <v>653</v>
      </c>
      <c r="M92" s="4" t="s">
        <v>654</v>
      </c>
      <c r="N92" s="4" t="s">
        <v>655</v>
      </c>
    </row>
    <row r="93" spans="1:14" ht="42.75">
      <c r="A93" s="4" t="s">
        <v>125</v>
      </c>
      <c r="B93" s="4" t="s">
        <v>85</v>
      </c>
      <c r="C93" s="4">
        <v>10</v>
      </c>
      <c r="D93" s="4" t="s">
        <v>177</v>
      </c>
      <c r="E93" s="4">
        <v>2</v>
      </c>
      <c r="F93" s="4">
        <v>10</v>
      </c>
      <c r="G93" s="4" t="s">
        <v>127</v>
      </c>
      <c r="H93" s="4" t="s">
        <v>375</v>
      </c>
      <c r="I93" s="4" t="s">
        <v>656</v>
      </c>
      <c r="J93" s="4" t="s">
        <v>657</v>
      </c>
      <c r="K93" s="4" t="s">
        <v>658</v>
      </c>
      <c r="L93" s="4" t="s">
        <v>659</v>
      </c>
      <c r="M93" s="4" t="s">
        <v>660</v>
      </c>
      <c r="N93" s="4" t="s">
        <v>661</v>
      </c>
    </row>
    <row r="94" spans="1:14" ht="42.75">
      <c r="A94" s="4" t="s">
        <v>125</v>
      </c>
      <c r="B94" s="4" t="s">
        <v>85</v>
      </c>
      <c r="C94" s="4">
        <v>11</v>
      </c>
      <c r="D94" s="4" t="s">
        <v>177</v>
      </c>
      <c r="E94" s="4">
        <v>3</v>
      </c>
      <c r="F94" s="4">
        <v>11</v>
      </c>
      <c r="G94" s="4" t="s">
        <v>127</v>
      </c>
      <c r="H94" s="4" t="s">
        <v>375</v>
      </c>
      <c r="I94" s="4" t="s">
        <v>662</v>
      </c>
      <c r="J94" s="4" t="s">
        <v>663</v>
      </c>
      <c r="K94" s="4" t="s">
        <v>664</v>
      </c>
      <c r="L94" s="4" t="s">
        <v>665</v>
      </c>
      <c r="M94" s="4" t="s">
        <v>666</v>
      </c>
      <c r="N94" s="4" t="s">
        <v>667</v>
      </c>
    </row>
    <row r="95" spans="1:14" ht="42.75">
      <c r="A95" s="4" t="s">
        <v>125</v>
      </c>
      <c r="B95" s="4" t="s">
        <v>85</v>
      </c>
      <c r="C95" s="4">
        <v>12</v>
      </c>
      <c r="D95" s="4" t="s">
        <v>177</v>
      </c>
      <c r="E95" s="4">
        <v>4</v>
      </c>
      <c r="F95" s="4">
        <v>12</v>
      </c>
      <c r="G95" s="4" t="s">
        <v>127</v>
      </c>
      <c r="H95" s="4" t="s">
        <v>375</v>
      </c>
      <c r="I95" s="4" t="s">
        <v>668</v>
      </c>
      <c r="J95" s="4" t="s">
        <v>669</v>
      </c>
      <c r="K95" s="4" t="s">
        <v>670</v>
      </c>
      <c r="L95" s="4" t="s">
        <v>671</v>
      </c>
      <c r="M95" s="4" t="s">
        <v>672</v>
      </c>
      <c r="N95" s="4" t="s">
        <v>673</v>
      </c>
    </row>
    <row r="96" spans="1:14" ht="42.75">
      <c r="A96" s="4" t="s">
        <v>125</v>
      </c>
      <c r="B96" s="4" t="s">
        <v>85</v>
      </c>
      <c r="C96" s="4">
        <v>13</v>
      </c>
      <c r="D96" s="4" t="s">
        <v>177</v>
      </c>
      <c r="E96" s="4">
        <v>5</v>
      </c>
      <c r="F96" s="4">
        <v>13</v>
      </c>
      <c r="G96" s="4" t="s">
        <v>127</v>
      </c>
      <c r="H96" s="4" t="s">
        <v>375</v>
      </c>
      <c r="I96" s="4" t="s">
        <v>674</v>
      </c>
      <c r="J96" s="4" t="s">
        <v>675</v>
      </c>
      <c r="K96" s="4" t="s">
        <v>676</v>
      </c>
      <c r="L96" s="4" t="s">
        <v>677</v>
      </c>
      <c r="M96" s="4" t="s">
        <v>678</v>
      </c>
      <c r="N96" s="4" t="s">
        <v>679</v>
      </c>
    </row>
    <row r="97" spans="1:14" ht="42.75">
      <c r="A97" s="4" t="s">
        <v>125</v>
      </c>
      <c r="B97" s="4" t="s">
        <v>85</v>
      </c>
      <c r="C97" s="4">
        <v>14</v>
      </c>
      <c r="D97" s="4" t="s">
        <v>209</v>
      </c>
      <c r="E97" s="4">
        <v>1</v>
      </c>
      <c r="F97" s="4">
        <v>14</v>
      </c>
      <c r="G97" s="4" t="s">
        <v>127</v>
      </c>
      <c r="H97" s="4" t="s">
        <v>375</v>
      </c>
      <c r="I97" s="4" t="s">
        <v>680</v>
      </c>
      <c r="J97" s="4" t="s">
        <v>681</v>
      </c>
      <c r="K97" s="4" t="s">
        <v>682</v>
      </c>
      <c r="L97" s="4" t="s">
        <v>683</v>
      </c>
      <c r="M97" s="4" t="s">
        <v>684</v>
      </c>
      <c r="N97" s="4" t="s">
        <v>685</v>
      </c>
    </row>
    <row r="98" spans="1:14" ht="28.5">
      <c r="A98" s="4" t="s">
        <v>125</v>
      </c>
      <c r="B98" s="4" t="s">
        <v>85</v>
      </c>
      <c r="C98" s="4">
        <v>15</v>
      </c>
      <c r="D98" s="4" t="s">
        <v>209</v>
      </c>
      <c r="E98" s="4">
        <v>2</v>
      </c>
      <c r="F98" s="4">
        <v>15</v>
      </c>
      <c r="G98" s="4" t="s">
        <v>127</v>
      </c>
      <c r="H98" s="4" t="s">
        <v>375</v>
      </c>
      <c r="I98" s="4" t="s">
        <v>686</v>
      </c>
      <c r="J98" s="4" t="s">
        <v>687</v>
      </c>
      <c r="K98" s="4" t="s">
        <v>688</v>
      </c>
      <c r="L98" s="4" t="s">
        <v>689</v>
      </c>
      <c r="M98" s="4" t="s">
        <v>690</v>
      </c>
      <c r="N98" s="4" t="s">
        <v>691</v>
      </c>
    </row>
    <row r="99" spans="1:14" ht="42.75">
      <c r="A99" s="4" t="s">
        <v>125</v>
      </c>
      <c r="B99" s="4" t="s">
        <v>85</v>
      </c>
      <c r="C99" s="4">
        <v>16</v>
      </c>
      <c r="D99" s="4" t="s">
        <v>209</v>
      </c>
      <c r="E99" s="4">
        <v>3</v>
      </c>
      <c r="F99" s="4">
        <v>16</v>
      </c>
      <c r="G99" s="4" t="s">
        <v>127</v>
      </c>
      <c r="H99" s="4" t="s">
        <v>375</v>
      </c>
      <c r="I99" s="4" t="s">
        <v>692</v>
      </c>
      <c r="J99" s="4" t="s">
        <v>693</v>
      </c>
      <c r="K99" s="4" t="s">
        <v>694</v>
      </c>
      <c r="L99" s="4" t="s">
        <v>695</v>
      </c>
      <c r="M99" s="4" t="s">
        <v>696</v>
      </c>
      <c r="N99" s="4" t="s">
        <v>697</v>
      </c>
    </row>
    <row r="100" spans="1:14" ht="28.5">
      <c r="A100" s="4" t="s">
        <v>125</v>
      </c>
      <c r="B100" s="4" t="s">
        <v>85</v>
      </c>
      <c r="C100" s="4">
        <v>17</v>
      </c>
      <c r="D100" s="4" t="s">
        <v>209</v>
      </c>
      <c r="E100" s="4">
        <v>4</v>
      </c>
      <c r="F100" s="4">
        <v>17</v>
      </c>
      <c r="G100" s="4" t="s">
        <v>127</v>
      </c>
      <c r="H100" s="4" t="s">
        <v>375</v>
      </c>
      <c r="I100" s="4" t="s">
        <v>698</v>
      </c>
      <c r="J100" s="4" t="s">
        <v>699</v>
      </c>
      <c r="K100" s="4" t="s">
        <v>700</v>
      </c>
      <c r="L100" s="4" t="s">
        <v>701</v>
      </c>
      <c r="M100" s="4" t="s">
        <v>702</v>
      </c>
      <c r="N100" s="4" t="s">
        <v>703</v>
      </c>
    </row>
    <row r="101" spans="1:14" ht="42.75">
      <c r="A101" s="4" t="s">
        <v>125</v>
      </c>
      <c r="B101" s="4" t="s">
        <v>85</v>
      </c>
      <c r="C101" s="4">
        <v>18</v>
      </c>
      <c r="D101" s="4" t="s">
        <v>235</v>
      </c>
      <c r="E101" s="4">
        <v>1</v>
      </c>
      <c r="F101" s="4">
        <v>18</v>
      </c>
      <c r="G101" s="4" t="s">
        <v>127</v>
      </c>
      <c r="H101" s="4" t="s">
        <v>704</v>
      </c>
      <c r="I101" s="4" t="s">
        <v>705</v>
      </c>
      <c r="J101" s="4" t="s">
        <v>706</v>
      </c>
      <c r="K101" s="4" t="s">
        <v>707</v>
      </c>
      <c r="L101" s="4" t="s">
        <v>708</v>
      </c>
      <c r="M101" s="4" t="s">
        <v>709</v>
      </c>
      <c r="N101" s="4" t="s">
        <v>710</v>
      </c>
    </row>
    <row r="102" spans="1:14" ht="42.75">
      <c r="A102" s="5" t="s">
        <v>125</v>
      </c>
      <c r="B102" s="5" t="s">
        <v>85</v>
      </c>
      <c r="C102" s="5">
        <v>19</v>
      </c>
      <c r="D102" s="5" t="s">
        <v>235</v>
      </c>
      <c r="E102" s="5">
        <v>2</v>
      </c>
      <c r="F102" s="5"/>
      <c r="G102" s="5" t="s">
        <v>242</v>
      </c>
      <c r="H102" s="5" t="s">
        <v>17</v>
      </c>
      <c r="I102" s="5" t="s">
        <v>243</v>
      </c>
      <c r="J102" s="5" t="s">
        <v>244</v>
      </c>
      <c r="K102" s="5" t="s">
        <v>245</v>
      </c>
      <c r="L102" s="5" t="s">
        <v>246</v>
      </c>
      <c r="M102" s="5" t="s">
        <v>247</v>
      </c>
      <c r="N102" s="5" t="s">
        <v>248</v>
      </c>
    </row>
    <row r="103" spans="1:14" ht="42.75">
      <c r="A103" s="5" t="s">
        <v>125</v>
      </c>
      <c r="B103" s="5" t="s">
        <v>85</v>
      </c>
      <c r="C103" s="5">
        <v>20</v>
      </c>
      <c r="D103" s="5" t="s">
        <v>235</v>
      </c>
      <c r="E103" s="5">
        <v>3</v>
      </c>
      <c r="F103" s="5"/>
      <c r="G103" s="5" t="s">
        <v>242</v>
      </c>
      <c r="H103" s="5" t="s">
        <v>17</v>
      </c>
      <c r="I103" s="5" t="s">
        <v>243</v>
      </c>
      <c r="J103" s="5" t="s">
        <v>244</v>
      </c>
      <c r="K103" s="5" t="s">
        <v>245</v>
      </c>
      <c r="L103" s="5" t="s">
        <v>246</v>
      </c>
      <c r="M103" s="5" t="s">
        <v>247</v>
      </c>
      <c r="N103" s="5" t="s">
        <v>248</v>
      </c>
    </row>
    <row r="104" spans="1:14" ht="42.75">
      <c r="A104" s="4" t="s">
        <v>125</v>
      </c>
      <c r="B104" s="4" t="s">
        <v>85</v>
      </c>
      <c r="C104" s="4">
        <v>21</v>
      </c>
      <c r="D104" s="4" t="s">
        <v>235</v>
      </c>
      <c r="E104" s="4">
        <v>4</v>
      </c>
      <c r="F104" s="4">
        <v>19</v>
      </c>
      <c r="G104" s="4" t="s">
        <v>127</v>
      </c>
      <c r="H104" s="4" t="s">
        <v>375</v>
      </c>
      <c r="I104" s="4" t="s">
        <v>711</v>
      </c>
      <c r="J104" s="4" t="s">
        <v>712</v>
      </c>
      <c r="K104" s="4" t="s">
        <v>713</v>
      </c>
      <c r="L104" s="4" t="s">
        <v>714</v>
      </c>
      <c r="M104" s="4" t="s">
        <v>715</v>
      </c>
      <c r="N104" s="4" t="s">
        <v>716</v>
      </c>
    </row>
    <row r="105" spans="1:14" ht="42.75">
      <c r="A105" s="4" t="s">
        <v>125</v>
      </c>
      <c r="B105" s="4" t="s">
        <v>85</v>
      </c>
      <c r="C105" s="4">
        <v>22</v>
      </c>
      <c r="D105" s="4" t="s">
        <v>235</v>
      </c>
      <c r="E105" s="4">
        <v>5</v>
      </c>
      <c r="F105" s="4">
        <v>20</v>
      </c>
      <c r="G105" s="4" t="s">
        <v>127</v>
      </c>
      <c r="H105" s="4" t="s">
        <v>92</v>
      </c>
      <c r="I105" s="4" t="s">
        <v>717</v>
      </c>
      <c r="J105" s="4" t="s">
        <v>718</v>
      </c>
      <c r="K105" s="4" t="s">
        <v>719</v>
      </c>
      <c r="L105" s="4" t="s">
        <v>720</v>
      </c>
      <c r="M105" s="4" t="s">
        <v>721</v>
      </c>
      <c r="N105" s="4" t="s">
        <v>722</v>
      </c>
    </row>
    <row r="106" spans="1:14" ht="42.75">
      <c r="A106" s="4" t="s">
        <v>125</v>
      </c>
      <c r="B106" s="4" t="s">
        <v>85</v>
      </c>
      <c r="C106" s="4">
        <v>23</v>
      </c>
      <c r="D106" s="4" t="s">
        <v>260</v>
      </c>
      <c r="E106" s="4">
        <v>1</v>
      </c>
      <c r="F106" s="4">
        <v>21</v>
      </c>
      <c r="G106" s="4" t="s">
        <v>127</v>
      </c>
      <c r="H106" s="4" t="s">
        <v>92</v>
      </c>
      <c r="I106" s="4" t="s">
        <v>723</v>
      </c>
      <c r="J106" s="4" t="s">
        <v>724</v>
      </c>
      <c r="K106" s="4" t="s">
        <v>725</v>
      </c>
      <c r="L106" s="4" t="s">
        <v>726</v>
      </c>
      <c r="M106" s="4" t="s">
        <v>727</v>
      </c>
      <c r="N106" s="4" t="s">
        <v>728</v>
      </c>
    </row>
    <row r="107" spans="1:14" ht="42.75">
      <c r="A107" s="4" t="s">
        <v>125</v>
      </c>
      <c r="B107" s="4" t="s">
        <v>85</v>
      </c>
      <c r="C107" s="4">
        <v>24</v>
      </c>
      <c r="D107" s="4" t="s">
        <v>260</v>
      </c>
      <c r="E107" s="4">
        <v>2</v>
      </c>
      <c r="F107" s="4">
        <v>22</v>
      </c>
      <c r="G107" s="4" t="s">
        <v>127</v>
      </c>
      <c r="H107" s="4" t="s">
        <v>92</v>
      </c>
      <c r="I107" s="4" t="s">
        <v>729</v>
      </c>
      <c r="J107" s="4" t="s">
        <v>730</v>
      </c>
      <c r="K107" s="4" t="s">
        <v>731</v>
      </c>
      <c r="L107" s="4" t="s">
        <v>732</v>
      </c>
      <c r="M107" s="4" t="s">
        <v>733</v>
      </c>
      <c r="N107" s="4" t="s">
        <v>734</v>
      </c>
    </row>
    <row r="108" spans="1:14" ht="28.5">
      <c r="A108" s="4" t="s">
        <v>125</v>
      </c>
      <c r="B108" s="4" t="s">
        <v>85</v>
      </c>
      <c r="C108" s="4">
        <v>25</v>
      </c>
      <c r="D108" s="4" t="s">
        <v>260</v>
      </c>
      <c r="E108" s="4">
        <v>3</v>
      </c>
      <c r="F108" s="4">
        <v>23</v>
      </c>
      <c r="G108" s="4" t="s">
        <v>127</v>
      </c>
      <c r="H108" s="4" t="s">
        <v>92</v>
      </c>
      <c r="I108" s="4" t="s">
        <v>735</v>
      </c>
      <c r="J108" s="4" t="s">
        <v>736</v>
      </c>
      <c r="K108" s="4" t="s">
        <v>737</v>
      </c>
      <c r="L108" s="4" t="s">
        <v>738</v>
      </c>
      <c r="M108" s="4" t="s">
        <v>739</v>
      </c>
      <c r="N108" s="4" t="s">
        <v>740</v>
      </c>
    </row>
    <row r="109" spans="1:14" ht="42.75">
      <c r="A109" s="4" t="s">
        <v>125</v>
      </c>
      <c r="B109" s="4" t="s">
        <v>85</v>
      </c>
      <c r="C109" s="4">
        <v>26</v>
      </c>
      <c r="D109" s="4" t="s">
        <v>260</v>
      </c>
      <c r="E109" s="4">
        <v>4</v>
      </c>
      <c r="F109" s="4">
        <v>24</v>
      </c>
      <c r="G109" s="4" t="s">
        <v>127</v>
      </c>
      <c r="H109" s="4" t="s">
        <v>92</v>
      </c>
      <c r="I109" s="4" t="s">
        <v>741</v>
      </c>
      <c r="J109" s="4" t="s">
        <v>742</v>
      </c>
      <c r="K109" s="4" t="s">
        <v>743</v>
      </c>
      <c r="L109" s="4" t="s">
        <v>744</v>
      </c>
      <c r="M109" s="4" t="s">
        <v>745</v>
      </c>
      <c r="N109" s="4" t="s">
        <v>746</v>
      </c>
    </row>
    <row r="110" spans="1:14" ht="42.75">
      <c r="A110" s="4" t="s">
        <v>125</v>
      </c>
      <c r="B110" s="4" t="s">
        <v>85</v>
      </c>
      <c r="C110" s="4">
        <v>27</v>
      </c>
      <c r="D110" s="4" t="s">
        <v>285</v>
      </c>
      <c r="E110" s="4">
        <v>1</v>
      </c>
      <c r="F110" s="4">
        <v>25</v>
      </c>
      <c r="G110" s="4" t="s">
        <v>127</v>
      </c>
      <c r="H110" s="4" t="s">
        <v>92</v>
      </c>
      <c r="I110" s="4" t="s">
        <v>747</v>
      </c>
      <c r="J110" s="4" t="s">
        <v>748</v>
      </c>
      <c r="K110" s="4" t="s">
        <v>749</v>
      </c>
      <c r="L110" s="4" t="s">
        <v>750</v>
      </c>
      <c r="M110" s="4" t="s">
        <v>751</v>
      </c>
      <c r="N110" s="4" t="s">
        <v>752</v>
      </c>
    </row>
    <row r="111" spans="1:14" ht="28.5">
      <c r="A111" s="4" t="s">
        <v>125</v>
      </c>
      <c r="B111" s="4" t="s">
        <v>85</v>
      </c>
      <c r="C111" s="4">
        <v>28</v>
      </c>
      <c r="D111" s="4" t="s">
        <v>285</v>
      </c>
      <c r="E111" s="4">
        <v>2</v>
      </c>
      <c r="F111" s="4">
        <v>26</v>
      </c>
      <c r="G111" s="4" t="s">
        <v>127</v>
      </c>
      <c r="H111" s="4" t="s">
        <v>92</v>
      </c>
      <c r="I111" s="4" t="s">
        <v>753</v>
      </c>
      <c r="J111" s="4" t="s">
        <v>754</v>
      </c>
      <c r="K111" s="4" t="s">
        <v>755</v>
      </c>
      <c r="L111" s="4" t="s">
        <v>756</v>
      </c>
      <c r="M111" s="4" t="s">
        <v>757</v>
      </c>
      <c r="N111" s="4" t="s">
        <v>758</v>
      </c>
    </row>
    <row r="112" spans="1:14" ht="42.75">
      <c r="A112" s="4" t="s">
        <v>125</v>
      </c>
      <c r="B112" s="4" t="s">
        <v>85</v>
      </c>
      <c r="C112" s="4">
        <v>29</v>
      </c>
      <c r="D112" s="4" t="s">
        <v>285</v>
      </c>
      <c r="E112" s="4">
        <v>3</v>
      </c>
      <c r="F112" s="4">
        <v>27</v>
      </c>
      <c r="G112" s="4" t="s">
        <v>127</v>
      </c>
      <c r="H112" s="4" t="s">
        <v>92</v>
      </c>
      <c r="I112" s="4" t="s">
        <v>759</v>
      </c>
      <c r="J112" s="4" t="s">
        <v>760</v>
      </c>
      <c r="K112" s="4" t="s">
        <v>761</v>
      </c>
      <c r="L112" s="4" t="s">
        <v>762</v>
      </c>
      <c r="M112" s="4" t="s">
        <v>763</v>
      </c>
      <c r="N112" s="4" t="s">
        <v>764</v>
      </c>
    </row>
    <row r="113" spans="1:14" ht="28.5">
      <c r="A113" s="4" t="s">
        <v>125</v>
      </c>
      <c r="B113" s="4" t="s">
        <v>85</v>
      </c>
      <c r="C113" s="4">
        <v>30</v>
      </c>
      <c r="D113" s="4" t="s">
        <v>285</v>
      </c>
      <c r="E113" s="4">
        <v>4</v>
      </c>
      <c r="F113" s="4">
        <v>28</v>
      </c>
      <c r="G113" s="4" t="s">
        <v>127</v>
      </c>
      <c r="H113" s="4" t="s">
        <v>97</v>
      </c>
      <c r="I113" s="4" t="s">
        <v>765</v>
      </c>
      <c r="J113" s="4" t="s">
        <v>766</v>
      </c>
      <c r="K113" s="4" t="s">
        <v>767</v>
      </c>
      <c r="L113" s="4" t="s">
        <v>768</v>
      </c>
      <c r="M113" s="4" t="s">
        <v>769</v>
      </c>
      <c r="N113" s="4" t="s">
        <v>770</v>
      </c>
    </row>
    <row r="114" spans="1:14" ht="42.75">
      <c r="A114" s="4" t="s">
        <v>125</v>
      </c>
      <c r="B114" s="4" t="s">
        <v>85</v>
      </c>
      <c r="C114" s="4">
        <v>31</v>
      </c>
      <c r="D114" s="4" t="s">
        <v>285</v>
      </c>
      <c r="E114" s="4">
        <v>5</v>
      </c>
      <c r="F114" s="4">
        <v>29</v>
      </c>
      <c r="G114" s="4" t="s">
        <v>127</v>
      </c>
      <c r="H114" s="4" t="s">
        <v>97</v>
      </c>
      <c r="I114" s="4" t="s">
        <v>771</v>
      </c>
      <c r="J114" s="4" t="s">
        <v>772</v>
      </c>
      <c r="K114" s="4" t="s">
        <v>773</v>
      </c>
      <c r="L114" s="4" t="s">
        <v>774</v>
      </c>
      <c r="M114" s="4" t="s">
        <v>775</v>
      </c>
      <c r="N114" s="4" t="s">
        <v>776</v>
      </c>
    </row>
    <row r="115" spans="1:14" ht="28.5">
      <c r="A115" s="4" t="s">
        <v>125</v>
      </c>
      <c r="B115" s="4" t="s">
        <v>85</v>
      </c>
      <c r="C115" s="4">
        <v>32</v>
      </c>
      <c r="D115" s="4" t="s">
        <v>316</v>
      </c>
      <c r="E115" s="4">
        <v>1</v>
      </c>
      <c r="F115" s="4">
        <v>30</v>
      </c>
      <c r="G115" s="4" t="s">
        <v>127</v>
      </c>
      <c r="H115" s="4" t="s">
        <v>97</v>
      </c>
      <c r="I115" s="4" t="s">
        <v>777</v>
      </c>
      <c r="J115" s="4" t="s">
        <v>778</v>
      </c>
      <c r="K115" s="4" t="s">
        <v>779</v>
      </c>
      <c r="L115" s="4" t="s">
        <v>780</v>
      </c>
      <c r="M115" s="4" t="s">
        <v>781</v>
      </c>
      <c r="N115" s="4" t="s">
        <v>782</v>
      </c>
    </row>
    <row r="116" spans="1:14" ht="42.75">
      <c r="A116" s="4" t="s">
        <v>125</v>
      </c>
      <c r="B116" s="4" t="s">
        <v>85</v>
      </c>
      <c r="C116" s="4">
        <v>33</v>
      </c>
      <c r="D116" s="4" t="s">
        <v>316</v>
      </c>
      <c r="E116" s="4">
        <v>2</v>
      </c>
      <c r="F116" s="4">
        <v>31</v>
      </c>
      <c r="G116" s="4" t="s">
        <v>127</v>
      </c>
      <c r="H116" s="4" t="s">
        <v>97</v>
      </c>
      <c r="I116" s="4" t="s">
        <v>783</v>
      </c>
      <c r="J116" s="4" t="s">
        <v>784</v>
      </c>
      <c r="K116" s="4" t="s">
        <v>785</v>
      </c>
      <c r="L116" s="4" t="s">
        <v>786</v>
      </c>
      <c r="M116" s="4" t="s">
        <v>787</v>
      </c>
      <c r="N116" s="4" t="s">
        <v>788</v>
      </c>
    </row>
    <row r="117" spans="1:14" ht="42.75">
      <c r="A117" s="4" t="s">
        <v>125</v>
      </c>
      <c r="B117" s="4" t="s">
        <v>85</v>
      </c>
      <c r="C117" s="4">
        <v>34</v>
      </c>
      <c r="D117" s="4" t="s">
        <v>316</v>
      </c>
      <c r="E117" s="4">
        <v>3</v>
      </c>
      <c r="F117" s="4">
        <v>32</v>
      </c>
      <c r="G117" s="4" t="s">
        <v>127</v>
      </c>
      <c r="H117" s="4" t="s">
        <v>97</v>
      </c>
      <c r="I117" s="4" t="s">
        <v>789</v>
      </c>
      <c r="J117" s="4" t="s">
        <v>790</v>
      </c>
      <c r="K117" s="4" t="s">
        <v>791</v>
      </c>
      <c r="L117" s="4" t="s">
        <v>792</v>
      </c>
      <c r="M117" s="4" t="s">
        <v>793</v>
      </c>
      <c r="N117" s="4" t="s">
        <v>794</v>
      </c>
    </row>
    <row r="118" spans="1:14" ht="42.75">
      <c r="A118" s="4" t="s">
        <v>125</v>
      </c>
      <c r="B118" s="4" t="s">
        <v>85</v>
      </c>
      <c r="C118" s="4">
        <v>35</v>
      </c>
      <c r="D118" s="4" t="s">
        <v>316</v>
      </c>
      <c r="E118" s="4">
        <v>4</v>
      </c>
      <c r="F118" s="4">
        <v>33</v>
      </c>
      <c r="G118" s="4" t="s">
        <v>127</v>
      </c>
      <c r="H118" s="4" t="s">
        <v>97</v>
      </c>
      <c r="I118" s="4" t="s">
        <v>795</v>
      </c>
      <c r="J118" s="4" t="s">
        <v>796</v>
      </c>
      <c r="K118" s="4" t="s">
        <v>797</v>
      </c>
      <c r="L118" s="4" t="s">
        <v>798</v>
      </c>
      <c r="M118" s="4" t="s">
        <v>799</v>
      </c>
      <c r="N118" s="4" t="s">
        <v>800</v>
      </c>
    </row>
    <row r="119" spans="1:14" ht="42.75">
      <c r="A119" s="4" t="s">
        <v>125</v>
      </c>
      <c r="B119" s="4" t="s">
        <v>85</v>
      </c>
      <c r="C119" s="4">
        <v>36</v>
      </c>
      <c r="D119" s="4" t="s">
        <v>343</v>
      </c>
      <c r="E119" s="4">
        <v>1</v>
      </c>
      <c r="F119" s="4">
        <v>34</v>
      </c>
      <c r="G119" s="4" t="s">
        <v>127</v>
      </c>
      <c r="H119" s="4" t="s">
        <v>38</v>
      </c>
      <c r="I119" s="4" t="s">
        <v>801</v>
      </c>
      <c r="J119" s="4" t="s">
        <v>802</v>
      </c>
      <c r="K119" s="4" t="s">
        <v>803</v>
      </c>
      <c r="L119" s="4" t="s">
        <v>804</v>
      </c>
      <c r="M119" s="4" t="s">
        <v>805</v>
      </c>
      <c r="N119" s="4" t="s">
        <v>806</v>
      </c>
    </row>
    <row r="120" spans="1:14" ht="28.5">
      <c r="A120" s="4" t="s">
        <v>125</v>
      </c>
      <c r="B120" s="4" t="s">
        <v>85</v>
      </c>
      <c r="C120" s="4">
        <v>37</v>
      </c>
      <c r="D120" s="4" t="s">
        <v>343</v>
      </c>
      <c r="E120" s="4">
        <v>2</v>
      </c>
      <c r="F120" s="4">
        <v>35</v>
      </c>
      <c r="G120" s="4" t="s">
        <v>127</v>
      </c>
      <c r="H120" s="4" t="s">
        <v>38</v>
      </c>
      <c r="I120" s="4" t="s">
        <v>807</v>
      </c>
      <c r="J120" s="4" t="s">
        <v>808</v>
      </c>
      <c r="K120" s="4" t="s">
        <v>809</v>
      </c>
      <c r="L120" s="4" t="s">
        <v>810</v>
      </c>
      <c r="M120" s="4" t="s">
        <v>811</v>
      </c>
      <c r="N120" s="4" t="s">
        <v>812</v>
      </c>
    </row>
    <row r="121" spans="1:14" ht="42.75">
      <c r="A121" s="4" t="s">
        <v>125</v>
      </c>
      <c r="B121" s="4" t="s">
        <v>85</v>
      </c>
      <c r="C121" s="4">
        <v>38</v>
      </c>
      <c r="D121" s="4" t="s">
        <v>343</v>
      </c>
      <c r="E121" s="4">
        <v>3</v>
      </c>
      <c r="F121" s="4">
        <v>36</v>
      </c>
      <c r="G121" s="4" t="s">
        <v>127</v>
      </c>
      <c r="H121" s="4" t="s">
        <v>38</v>
      </c>
      <c r="I121" s="4" t="s">
        <v>813</v>
      </c>
      <c r="J121" s="4" t="s">
        <v>814</v>
      </c>
      <c r="K121" s="4" t="s">
        <v>815</v>
      </c>
      <c r="L121" s="4" t="s">
        <v>816</v>
      </c>
      <c r="M121" s="4" t="s">
        <v>817</v>
      </c>
      <c r="N121" s="4" t="s">
        <v>818</v>
      </c>
    </row>
    <row r="122" spans="1:14" ht="42.75">
      <c r="A122" s="4" t="s">
        <v>125</v>
      </c>
      <c r="B122" s="4" t="s">
        <v>85</v>
      </c>
      <c r="C122" s="4">
        <v>39</v>
      </c>
      <c r="D122" s="4" t="s">
        <v>343</v>
      </c>
      <c r="E122" s="4">
        <v>4</v>
      </c>
      <c r="F122" s="4">
        <v>37</v>
      </c>
      <c r="G122" s="4" t="s">
        <v>127</v>
      </c>
      <c r="H122" s="4" t="s">
        <v>38</v>
      </c>
      <c r="I122" s="4" t="s">
        <v>819</v>
      </c>
      <c r="J122" s="4" t="s">
        <v>820</v>
      </c>
      <c r="K122" s="4" t="s">
        <v>821</v>
      </c>
      <c r="L122" s="4" t="s">
        <v>822</v>
      </c>
      <c r="M122" s="4" t="s">
        <v>823</v>
      </c>
      <c r="N122" s="4" t="s">
        <v>824</v>
      </c>
    </row>
    <row r="123" spans="1:14" ht="42.75">
      <c r="A123" s="4" t="s">
        <v>125</v>
      </c>
      <c r="B123" s="4" t="s">
        <v>85</v>
      </c>
      <c r="C123" s="4">
        <v>40</v>
      </c>
      <c r="D123" s="4" t="s">
        <v>368</v>
      </c>
      <c r="E123" s="4">
        <v>1</v>
      </c>
      <c r="F123" s="4">
        <v>38</v>
      </c>
      <c r="G123" s="4" t="s">
        <v>127</v>
      </c>
      <c r="H123" s="4" t="s">
        <v>825</v>
      </c>
      <c r="I123" s="4" t="s">
        <v>826</v>
      </c>
      <c r="J123" s="4" t="s">
        <v>827</v>
      </c>
      <c r="K123" s="4" t="s">
        <v>828</v>
      </c>
      <c r="L123" s="4" t="s">
        <v>829</v>
      </c>
      <c r="M123" s="4" t="s">
        <v>830</v>
      </c>
      <c r="N123" s="4" t="s">
        <v>831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3"/>
  <sheetViews>
    <sheetView tabSelected="1" topLeftCell="C1" workbookViewId="0">
      <selection activeCell="I6" sqref="I6"/>
    </sheetView>
  </sheetViews>
  <sheetFormatPr baseColWidth="10" defaultColWidth="9" defaultRowHeight="14.25"/>
  <cols>
    <col min="1" max="1" width="16" customWidth="1"/>
    <col min="2" max="2" width="18" customWidth="1"/>
    <col min="3" max="3" width="15" customWidth="1"/>
    <col min="4" max="4" width="12" customWidth="1"/>
    <col min="5" max="6" width="13" customWidth="1"/>
    <col min="7" max="7" width="18" customWidth="1"/>
    <col min="8" max="8" width="28" customWidth="1"/>
    <col min="9" max="9" width="48" customWidth="1"/>
    <col min="10" max="11" width="42" customWidth="1"/>
    <col min="12" max="12" width="46" customWidth="1"/>
    <col min="13" max="13" width="42" customWidth="1"/>
    <col min="14" max="14" width="46" customWidth="1"/>
  </cols>
  <sheetData>
    <row r="1" spans="1:14" ht="18">
      <c r="A1" s="6" t="s">
        <v>832</v>
      </c>
      <c r="B1" s="6" t="s">
        <v>832</v>
      </c>
      <c r="C1" s="6" t="s">
        <v>832</v>
      </c>
      <c r="D1" s="6" t="s">
        <v>832</v>
      </c>
      <c r="E1" s="6" t="s">
        <v>832</v>
      </c>
      <c r="F1" s="6" t="s">
        <v>832</v>
      </c>
      <c r="G1" s="6" t="s">
        <v>832</v>
      </c>
      <c r="H1" s="6" t="s">
        <v>832</v>
      </c>
      <c r="I1" s="6" t="s">
        <v>832</v>
      </c>
      <c r="J1" s="6" t="s">
        <v>832</v>
      </c>
      <c r="K1" s="6" t="s">
        <v>832</v>
      </c>
      <c r="L1" s="6" t="s">
        <v>832</v>
      </c>
      <c r="M1" s="6" t="s">
        <v>832</v>
      </c>
      <c r="N1" s="6" t="s">
        <v>832</v>
      </c>
    </row>
    <row r="3" spans="1:14" ht="30">
      <c r="A3" s="3" t="s">
        <v>8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 t="s">
        <v>122</v>
      </c>
      <c r="M3" s="3" t="s">
        <v>123</v>
      </c>
      <c r="N3" s="3" t="s">
        <v>124</v>
      </c>
    </row>
    <row r="4" spans="1:14" ht="42.75">
      <c r="A4" s="4" t="s">
        <v>125</v>
      </c>
      <c r="B4" s="4" t="s">
        <v>83</v>
      </c>
      <c r="C4" s="4">
        <v>1</v>
      </c>
      <c r="D4" s="4" t="s">
        <v>126</v>
      </c>
      <c r="E4" s="4">
        <v>1</v>
      </c>
      <c r="F4" s="4">
        <v>1</v>
      </c>
      <c r="G4" s="4" t="s">
        <v>127</v>
      </c>
      <c r="H4" s="4" t="s">
        <v>87</v>
      </c>
      <c r="I4" s="4" t="s">
        <v>128</v>
      </c>
      <c r="J4" s="4" t="s">
        <v>129</v>
      </c>
      <c r="K4" s="4" t="s">
        <v>130</v>
      </c>
      <c r="L4" s="4" t="s">
        <v>131</v>
      </c>
      <c r="M4" s="4" t="s">
        <v>132</v>
      </c>
      <c r="N4" s="4" t="s">
        <v>133</v>
      </c>
    </row>
    <row r="5" spans="1:14" ht="42.75">
      <c r="A5" s="4" t="s">
        <v>125</v>
      </c>
      <c r="B5" s="4" t="s">
        <v>83</v>
      </c>
      <c r="C5" s="4">
        <v>2</v>
      </c>
      <c r="D5" s="4" t="s">
        <v>126</v>
      </c>
      <c r="E5" s="4">
        <v>2</v>
      </c>
      <c r="F5" s="4">
        <v>2</v>
      </c>
      <c r="G5" s="4" t="s">
        <v>127</v>
      </c>
      <c r="H5" s="4" t="s">
        <v>87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138</v>
      </c>
      <c r="N5" s="4" t="s">
        <v>139</v>
      </c>
    </row>
    <row r="6" spans="1:14" ht="42.75">
      <c r="A6" s="4" t="s">
        <v>125</v>
      </c>
      <c r="B6" s="4" t="s">
        <v>83</v>
      </c>
      <c r="C6" s="4">
        <v>3</v>
      </c>
      <c r="D6" s="4" t="s">
        <v>126</v>
      </c>
      <c r="E6" s="4">
        <v>3</v>
      </c>
      <c r="F6" s="4">
        <v>3</v>
      </c>
      <c r="G6" s="4" t="s">
        <v>127</v>
      </c>
      <c r="H6" s="4" t="s">
        <v>87</v>
      </c>
      <c r="I6" s="4" t="s">
        <v>140</v>
      </c>
      <c r="J6" s="4" t="s">
        <v>141</v>
      </c>
      <c r="K6" s="4" t="s">
        <v>142</v>
      </c>
      <c r="L6" s="4" t="s">
        <v>143</v>
      </c>
      <c r="M6" s="4" t="s">
        <v>144</v>
      </c>
      <c r="N6" s="4" t="s">
        <v>145</v>
      </c>
    </row>
    <row r="7" spans="1:14" ht="42.75">
      <c r="A7" s="4" t="s">
        <v>125</v>
      </c>
      <c r="B7" s="4" t="s">
        <v>83</v>
      </c>
      <c r="C7" s="4">
        <v>4</v>
      </c>
      <c r="D7" s="4" t="s">
        <v>126</v>
      </c>
      <c r="E7" s="4">
        <v>4</v>
      </c>
      <c r="F7" s="4">
        <v>4</v>
      </c>
      <c r="G7" s="4" t="s">
        <v>127</v>
      </c>
      <c r="H7" s="4" t="s">
        <v>87</v>
      </c>
      <c r="I7" s="4" t="s">
        <v>146</v>
      </c>
      <c r="J7" s="4" t="s">
        <v>147</v>
      </c>
      <c r="K7" s="4" t="s">
        <v>148</v>
      </c>
      <c r="L7" s="4" t="s">
        <v>149</v>
      </c>
      <c r="M7" s="4" t="s">
        <v>150</v>
      </c>
      <c r="N7" s="4" t="s">
        <v>151</v>
      </c>
    </row>
    <row r="8" spans="1:14" ht="42.75">
      <c r="A8" s="4" t="s">
        <v>125</v>
      </c>
      <c r="B8" s="4" t="s">
        <v>83</v>
      </c>
      <c r="C8" s="4">
        <v>5</v>
      </c>
      <c r="D8" s="4" t="s">
        <v>152</v>
      </c>
      <c r="E8" s="4">
        <v>1</v>
      </c>
      <c r="F8" s="4">
        <v>5</v>
      </c>
      <c r="G8" s="4" t="s">
        <v>127</v>
      </c>
      <c r="H8" s="4" t="s">
        <v>87</v>
      </c>
      <c r="I8" s="4" t="s">
        <v>153</v>
      </c>
      <c r="J8" s="4" t="s">
        <v>154</v>
      </c>
      <c r="K8" s="4" t="s">
        <v>155</v>
      </c>
      <c r="L8" s="4" t="s">
        <v>156</v>
      </c>
      <c r="M8" s="4" t="s">
        <v>157</v>
      </c>
      <c r="N8" s="4" t="s">
        <v>158</v>
      </c>
    </row>
    <row r="9" spans="1:14" ht="42.75">
      <c r="A9" s="4" t="s">
        <v>125</v>
      </c>
      <c r="B9" s="4" t="s">
        <v>83</v>
      </c>
      <c r="C9" s="4">
        <v>6</v>
      </c>
      <c r="D9" s="4" t="s">
        <v>152</v>
      </c>
      <c r="E9" s="4">
        <v>2</v>
      </c>
      <c r="F9" s="4">
        <v>6</v>
      </c>
      <c r="G9" s="4" t="s">
        <v>127</v>
      </c>
      <c r="H9" s="4" t="s">
        <v>87</v>
      </c>
      <c r="I9" s="4" t="s">
        <v>159</v>
      </c>
      <c r="J9" s="4" t="s">
        <v>160</v>
      </c>
      <c r="K9" s="4" t="s">
        <v>161</v>
      </c>
      <c r="L9" s="4" t="s">
        <v>162</v>
      </c>
      <c r="M9" s="4" t="s">
        <v>163</v>
      </c>
      <c r="N9" s="4" t="s">
        <v>164</v>
      </c>
    </row>
    <row r="10" spans="1:14" ht="42.75">
      <c r="A10" s="4" t="s">
        <v>125</v>
      </c>
      <c r="B10" s="4" t="s">
        <v>83</v>
      </c>
      <c r="C10" s="4">
        <v>7</v>
      </c>
      <c r="D10" s="4" t="s">
        <v>152</v>
      </c>
      <c r="E10" s="4">
        <v>3</v>
      </c>
      <c r="F10" s="4">
        <v>7</v>
      </c>
      <c r="G10" s="4" t="s">
        <v>127</v>
      </c>
      <c r="H10" s="4" t="s">
        <v>87</v>
      </c>
      <c r="I10" s="4" t="s">
        <v>165</v>
      </c>
      <c r="J10" s="4" t="s">
        <v>166</v>
      </c>
      <c r="K10" s="4" t="s">
        <v>167</v>
      </c>
      <c r="L10" s="4" t="s">
        <v>168</v>
      </c>
      <c r="M10" s="4" t="s">
        <v>169</v>
      </c>
      <c r="N10" s="4" t="s">
        <v>170</v>
      </c>
    </row>
    <row r="11" spans="1:14" ht="42.75">
      <c r="A11" s="4" t="s">
        <v>125</v>
      </c>
      <c r="B11" s="4" t="s">
        <v>83</v>
      </c>
      <c r="C11" s="4">
        <v>8</v>
      </c>
      <c r="D11" s="4" t="s">
        <v>152</v>
      </c>
      <c r="E11" s="4">
        <v>4</v>
      </c>
      <c r="F11" s="4">
        <v>8</v>
      </c>
      <c r="G11" s="4" t="s">
        <v>127</v>
      </c>
      <c r="H11" s="4" t="s">
        <v>87</v>
      </c>
      <c r="I11" s="4" t="s">
        <v>171</v>
      </c>
      <c r="J11" s="4" t="s">
        <v>172</v>
      </c>
      <c r="K11" s="4" t="s">
        <v>173</v>
      </c>
      <c r="L11" s="4" t="s">
        <v>174</v>
      </c>
      <c r="M11" s="4" t="s">
        <v>175</v>
      </c>
      <c r="N11" s="4" t="s">
        <v>176</v>
      </c>
    </row>
    <row r="12" spans="1:14" ht="42.75">
      <c r="A12" s="4" t="s">
        <v>125</v>
      </c>
      <c r="B12" s="4" t="s">
        <v>83</v>
      </c>
      <c r="C12" s="4">
        <v>9</v>
      </c>
      <c r="D12" s="4" t="s">
        <v>177</v>
      </c>
      <c r="E12" s="4">
        <v>1</v>
      </c>
      <c r="F12" s="4">
        <v>9</v>
      </c>
      <c r="G12" s="4" t="s">
        <v>127</v>
      </c>
      <c r="H12" s="4" t="s">
        <v>178</v>
      </c>
      <c r="I12" s="4" t="s">
        <v>179</v>
      </c>
      <c r="J12" s="4" t="s">
        <v>180</v>
      </c>
      <c r="K12" s="4" t="s">
        <v>181</v>
      </c>
      <c r="L12" s="4" t="s">
        <v>182</v>
      </c>
      <c r="M12" s="4" t="s">
        <v>183</v>
      </c>
      <c r="N12" s="4" t="s">
        <v>184</v>
      </c>
    </row>
    <row r="13" spans="1:14" ht="42.75">
      <c r="A13" s="4" t="s">
        <v>125</v>
      </c>
      <c r="B13" s="4" t="s">
        <v>83</v>
      </c>
      <c r="C13" s="4">
        <v>10</v>
      </c>
      <c r="D13" s="4" t="s">
        <v>177</v>
      </c>
      <c r="E13" s="4">
        <v>2</v>
      </c>
      <c r="F13" s="4">
        <v>10</v>
      </c>
      <c r="G13" s="4" t="s">
        <v>127</v>
      </c>
      <c r="H13" s="4" t="s">
        <v>178</v>
      </c>
      <c r="I13" s="4" t="s">
        <v>185</v>
      </c>
      <c r="J13" s="4" t="s">
        <v>186</v>
      </c>
      <c r="K13" s="4" t="s">
        <v>187</v>
      </c>
      <c r="L13" s="4" t="s">
        <v>188</v>
      </c>
      <c r="M13" s="4" t="s">
        <v>189</v>
      </c>
      <c r="N13" s="4" t="s">
        <v>190</v>
      </c>
    </row>
    <row r="14" spans="1:14" ht="42.75">
      <c r="A14" s="4" t="s">
        <v>125</v>
      </c>
      <c r="B14" s="4" t="s">
        <v>83</v>
      </c>
      <c r="C14" s="4">
        <v>11</v>
      </c>
      <c r="D14" s="4" t="s">
        <v>177</v>
      </c>
      <c r="E14" s="4">
        <v>3</v>
      </c>
      <c r="F14" s="4">
        <v>11</v>
      </c>
      <c r="G14" s="4" t="s">
        <v>127</v>
      </c>
      <c r="H14" s="4" t="s">
        <v>178</v>
      </c>
      <c r="I14" s="4" t="s">
        <v>191</v>
      </c>
      <c r="J14" s="4" t="s">
        <v>192</v>
      </c>
      <c r="K14" s="4" t="s">
        <v>193</v>
      </c>
      <c r="L14" s="4" t="s">
        <v>194</v>
      </c>
      <c r="M14" s="4" t="s">
        <v>195</v>
      </c>
      <c r="N14" s="4" t="s">
        <v>196</v>
      </c>
    </row>
    <row r="15" spans="1:14" ht="42.75">
      <c r="A15" s="4" t="s">
        <v>125</v>
      </c>
      <c r="B15" s="4" t="s">
        <v>83</v>
      </c>
      <c r="C15" s="4">
        <v>12</v>
      </c>
      <c r="D15" s="4" t="s">
        <v>177</v>
      </c>
      <c r="E15" s="4">
        <v>4</v>
      </c>
      <c r="F15" s="4">
        <v>12</v>
      </c>
      <c r="G15" s="4" t="s">
        <v>127</v>
      </c>
      <c r="H15" s="4" t="s">
        <v>178</v>
      </c>
      <c r="I15" s="4" t="s">
        <v>197</v>
      </c>
      <c r="J15" s="4" t="s">
        <v>198</v>
      </c>
      <c r="K15" s="4" t="s">
        <v>199</v>
      </c>
      <c r="L15" s="4" t="s">
        <v>200</v>
      </c>
      <c r="M15" s="4" t="s">
        <v>201</v>
      </c>
      <c r="N15" s="4" t="s">
        <v>202</v>
      </c>
    </row>
    <row r="16" spans="1:14" ht="42.75">
      <c r="A16" s="4" t="s">
        <v>125</v>
      </c>
      <c r="B16" s="4" t="s">
        <v>83</v>
      </c>
      <c r="C16" s="4">
        <v>13</v>
      </c>
      <c r="D16" s="4" t="s">
        <v>177</v>
      </c>
      <c r="E16" s="4">
        <v>5</v>
      </c>
      <c r="F16" s="4">
        <v>13</v>
      </c>
      <c r="G16" s="4" t="s">
        <v>127</v>
      </c>
      <c r="H16" s="4" t="s">
        <v>178</v>
      </c>
      <c r="I16" s="4" t="s">
        <v>203</v>
      </c>
      <c r="J16" s="4" t="s">
        <v>204</v>
      </c>
      <c r="K16" s="4" t="s">
        <v>205</v>
      </c>
      <c r="L16" s="4" t="s">
        <v>206</v>
      </c>
      <c r="M16" s="4" t="s">
        <v>207</v>
      </c>
      <c r="N16" s="4" t="s">
        <v>208</v>
      </c>
    </row>
    <row r="17" spans="1:14" ht="42.75">
      <c r="A17" s="4" t="s">
        <v>125</v>
      </c>
      <c r="B17" s="4" t="s">
        <v>83</v>
      </c>
      <c r="C17" s="4">
        <v>14</v>
      </c>
      <c r="D17" s="4" t="s">
        <v>209</v>
      </c>
      <c r="E17" s="4">
        <v>1</v>
      </c>
      <c r="F17" s="4">
        <v>14</v>
      </c>
      <c r="G17" s="4" t="s">
        <v>127</v>
      </c>
      <c r="H17" s="4" t="s">
        <v>178</v>
      </c>
      <c r="I17" s="4" t="s">
        <v>210</v>
      </c>
      <c r="J17" s="4" t="s">
        <v>211</v>
      </c>
      <c r="K17" s="4" t="s">
        <v>212</v>
      </c>
      <c r="L17" s="4" t="s">
        <v>213</v>
      </c>
      <c r="M17" s="4" t="s">
        <v>214</v>
      </c>
      <c r="N17" s="4" t="s">
        <v>215</v>
      </c>
    </row>
    <row r="18" spans="1:14" ht="42.75">
      <c r="A18" s="4" t="s">
        <v>125</v>
      </c>
      <c r="B18" s="4" t="s">
        <v>83</v>
      </c>
      <c r="C18" s="4">
        <v>15</v>
      </c>
      <c r="D18" s="4" t="s">
        <v>209</v>
      </c>
      <c r="E18" s="4">
        <v>2</v>
      </c>
      <c r="F18" s="4">
        <v>15</v>
      </c>
      <c r="G18" s="4" t="s">
        <v>127</v>
      </c>
      <c r="H18" s="4" t="s">
        <v>178</v>
      </c>
      <c r="I18" s="4" t="s">
        <v>216</v>
      </c>
      <c r="J18" s="4" t="s">
        <v>217</v>
      </c>
      <c r="K18" s="4" t="s">
        <v>218</v>
      </c>
      <c r="L18" s="4" t="s">
        <v>219</v>
      </c>
      <c r="M18" s="4" t="s">
        <v>220</v>
      </c>
      <c r="N18" s="4" t="s">
        <v>221</v>
      </c>
    </row>
    <row r="19" spans="1:14" ht="42.75">
      <c r="A19" s="4" t="s">
        <v>125</v>
      </c>
      <c r="B19" s="4" t="s">
        <v>83</v>
      </c>
      <c r="C19" s="4">
        <v>16</v>
      </c>
      <c r="D19" s="4" t="s">
        <v>209</v>
      </c>
      <c r="E19" s="4">
        <v>3</v>
      </c>
      <c r="F19" s="4">
        <v>16</v>
      </c>
      <c r="G19" s="4" t="s">
        <v>127</v>
      </c>
      <c r="H19" s="4" t="s">
        <v>178</v>
      </c>
      <c r="I19" s="4" t="s">
        <v>222</v>
      </c>
      <c r="J19" s="4" t="s">
        <v>223</v>
      </c>
      <c r="K19" s="4" t="s">
        <v>224</v>
      </c>
      <c r="L19" s="4" t="s">
        <v>225</v>
      </c>
      <c r="M19" s="4" t="s">
        <v>226</v>
      </c>
      <c r="N19" s="4" t="s">
        <v>227</v>
      </c>
    </row>
    <row r="20" spans="1:14" ht="42.75">
      <c r="A20" s="4" t="s">
        <v>125</v>
      </c>
      <c r="B20" s="4" t="s">
        <v>83</v>
      </c>
      <c r="C20" s="4">
        <v>17</v>
      </c>
      <c r="D20" s="4" t="s">
        <v>209</v>
      </c>
      <c r="E20" s="4">
        <v>4</v>
      </c>
      <c r="F20" s="4">
        <v>17</v>
      </c>
      <c r="G20" s="4" t="s">
        <v>127</v>
      </c>
      <c r="H20" s="4" t="s">
        <v>228</v>
      </c>
      <c r="I20" s="4" t="s">
        <v>229</v>
      </c>
      <c r="J20" s="4" t="s">
        <v>230</v>
      </c>
      <c r="K20" s="4" t="s">
        <v>231</v>
      </c>
      <c r="L20" s="4" t="s">
        <v>232</v>
      </c>
      <c r="M20" s="4" t="s">
        <v>233</v>
      </c>
      <c r="N20" s="4" t="s">
        <v>234</v>
      </c>
    </row>
    <row r="21" spans="1:14" ht="42.75">
      <c r="A21" s="4" t="s">
        <v>125</v>
      </c>
      <c r="B21" s="4" t="s">
        <v>83</v>
      </c>
      <c r="C21" s="4">
        <v>18</v>
      </c>
      <c r="D21" s="4" t="s">
        <v>235</v>
      </c>
      <c r="E21" s="4">
        <v>1</v>
      </c>
      <c r="F21" s="4">
        <v>18</v>
      </c>
      <c r="G21" s="4" t="s">
        <v>127</v>
      </c>
      <c r="H21" s="4" t="s">
        <v>228</v>
      </c>
      <c r="I21" s="4" t="s">
        <v>236</v>
      </c>
      <c r="J21" s="4" t="s">
        <v>237</v>
      </c>
      <c r="K21" s="4" t="s">
        <v>238</v>
      </c>
      <c r="L21" s="4" t="s">
        <v>239</v>
      </c>
      <c r="M21" s="4" t="s">
        <v>240</v>
      </c>
      <c r="N21" s="4" t="s">
        <v>241</v>
      </c>
    </row>
    <row r="22" spans="1:14" ht="42.75">
      <c r="A22" s="5" t="s">
        <v>125</v>
      </c>
      <c r="B22" s="5" t="s">
        <v>83</v>
      </c>
      <c r="C22" s="5">
        <v>19</v>
      </c>
      <c r="D22" s="5" t="s">
        <v>235</v>
      </c>
      <c r="E22" s="5">
        <v>2</v>
      </c>
      <c r="F22" s="5"/>
      <c r="G22" s="5" t="s">
        <v>242</v>
      </c>
      <c r="H22" s="5" t="s">
        <v>17</v>
      </c>
      <c r="I22" s="5" t="s">
        <v>243</v>
      </c>
      <c r="J22" s="5" t="s">
        <v>244</v>
      </c>
      <c r="K22" s="5" t="s">
        <v>245</v>
      </c>
      <c r="L22" s="5" t="s">
        <v>246</v>
      </c>
      <c r="M22" s="5" t="s">
        <v>247</v>
      </c>
      <c r="N22" s="5" t="s">
        <v>248</v>
      </c>
    </row>
    <row r="23" spans="1:14" ht="42.75">
      <c r="A23" s="5" t="s">
        <v>125</v>
      </c>
      <c r="B23" s="5" t="s">
        <v>83</v>
      </c>
      <c r="C23" s="5">
        <v>20</v>
      </c>
      <c r="D23" s="5" t="s">
        <v>235</v>
      </c>
      <c r="E23" s="5">
        <v>3</v>
      </c>
      <c r="F23" s="5"/>
      <c r="G23" s="5" t="s">
        <v>242</v>
      </c>
      <c r="H23" s="5" t="s">
        <v>17</v>
      </c>
      <c r="I23" s="5" t="s">
        <v>243</v>
      </c>
      <c r="J23" s="5" t="s">
        <v>244</v>
      </c>
      <c r="K23" s="5" t="s">
        <v>245</v>
      </c>
      <c r="L23" s="5" t="s">
        <v>246</v>
      </c>
      <c r="M23" s="5" t="s">
        <v>247</v>
      </c>
      <c r="N23" s="5" t="s">
        <v>248</v>
      </c>
    </row>
    <row r="24" spans="1:14" ht="42.75">
      <c r="A24" s="4" t="s">
        <v>125</v>
      </c>
      <c r="B24" s="4" t="s">
        <v>83</v>
      </c>
      <c r="C24" s="4">
        <v>21</v>
      </c>
      <c r="D24" s="4" t="s">
        <v>235</v>
      </c>
      <c r="E24" s="4">
        <v>4</v>
      </c>
      <c r="F24" s="4">
        <v>19</v>
      </c>
      <c r="G24" s="4" t="s">
        <v>127</v>
      </c>
      <c r="H24" s="4" t="s">
        <v>178</v>
      </c>
      <c r="I24" s="4" t="s">
        <v>249</v>
      </c>
      <c r="J24" s="4" t="s">
        <v>250</v>
      </c>
      <c r="K24" s="4" t="s">
        <v>251</v>
      </c>
      <c r="L24" s="4" t="s">
        <v>252</v>
      </c>
      <c r="M24" s="4" t="s">
        <v>253</v>
      </c>
      <c r="N24" s="4" t="s">
        <v>254</v>
      </c>
    </row>
    <row r="25" spans="1:14" ht="42.75">
      <c r="A25" s="4" t="s">
        <v>125</v>
      </c>
      <c r="B25" s="4" t="s">
        <v>83</v>
      </c>
      <c r="C25" s="4">
        <v>22</v>
      </c>
      <c r="D25" s="4" t="s">
        <v>235</v>
      </c>
      <c r="E25" s="4">
        <v>5</v>
      </c>
      <c r="F25" s="4">
        <v>20</v>
      </c>
      <c r="G25" s="4" t="s">
        <v>127</v>
      </c>
      <c r="H25" s="4" t="s">
        <v>97</v>
      </c>
      <c r="I25" s="4" t="s">
        <v>98</v>
      </c>
      <c r="J25" s="4" t="s">
        <v>255</v>
      </c>
      <c r="K25" s="4" t="s">
        <v>256</v>
      </c>
      <c r="L25" s="4" t="s">
        <v>257</v>
      </c>
      <c r="M25" s="4" t="s">
        <v>258</v>
      </c>
      <c r="N25" s="4" t="s">
        <v>259</v>
      </c>
    </row>
    <row r="26" spans="1:14" ht="42.75">
      <c r="A26" s="4" t="s">
        <v>125</v>
      </c>
      <c r="B26" s="4" t="s">
        <v>83</v>
      </c>
      <c r="C26" s="4">
        <v>23</v>
      </c>
      <c r="D26" s="4" t="s">
        <v>260</v>
      </c>
      <c r="E26" s="4">
        <v>1</v>
      </c>
      <c r="F26" s="4">
        <v>21</v>
      </c>
      <c r="G26" s="4" t="s">
        <v>127</v>
      </c>
      <c r="H26" s="4" t="s">
        <v>97</v>
      </c>
      <c r="I26" s="4" t="s">
        <v>261</v>
      </c>
      <c r="J26" s="4" t="s">
        <v>262</v>
      </c>
      <c r="K26" s="4" t="s">
        <v>263</v>
      </c>
      <c r="L26" s="4" t="s">
        <v>264</v>
      </c>
      <c r="M26" s="4" t="s">
        <v>265</v>
      </c>
      <c r="N26" s="4" t="s">
        <v>266</v>
      </c>
    </row>
    <row r="27" spans="1:14" ht="42.75">
      <c r="A27" s="4" t="s">
        <v>125</v>
      </c>
      <c r="B27" s="4" t="s">
        <v>83</v>
      </c>
      <c r="C27" s="4">
        <v>24</v>
      </c>
      <c r="D27" s="4" t="s">
        <v>260</v>
      </c>
      <c r="E27" s="4">
        <v>2</v>
      </c>
      <c r="F27" s="4">
        <v>22</v>
      </c>
      <c r="G27" s="4" t="s">
        <v>127</v>
      </c>
      <c r="H27" s="4" t="s">
        <v>97</v>
      </c>
      <c r="I27" s="4" t="s">
        <v>267</v>
      </c>
      <c r="J27" s="4" t="s">
        <v>268</v>
      </c>
      <c r="K27" s="4" t="s">
        <v>269</v>
      </c>
      <c r="L27" s="4" t="s">
        <v>270</v>
      </c>
      <c r="M27" s="4" t="s">
        <v>271</v>
      </c>
      <c r="N27" s="4" t="s">
        <v>272</v>
      </c>
    </row>
    <row r="28" spans="1:14" ht="42.75">
      <c r="A28" s="4" t="s">
        <v>125</v>
      </c>
      <c r="B28" s="4" t="s">
        <v>83</v>
      </c>
      <c r="C28" s="4">
        <v>25</v>
      </c>
      <c r="D28" s="4" t="s">
        <v>260</v>
      </c>
      <c r="E28" s="4">
        <v>3</v>
      </c>
      <c r="F28" s="4">
        <v>23</v>
      </c>
      <c r="G28" s="4" t="s">
        <v>127</v>
      </c>
      <c r="H28" s="4" t="s">
        <v>97</v>
      </c>
      <c r="I28" s="4" t="s">
        <v>273</v>
      </c>
      <c r="J28" s="4" t="s">
        <v>274</v>
      </c>
      <c r="K28" s="4" t="s">
        <v>275</v>
      </c>
      <c r="L28" s="4" t="s">
        <v>276</v>
      </c>
      <c r="M28" s="4" t="s">
        <v>277</v>
      </c>
      <c r="N28" s="4" t="s">
        <v>278</v>
      </c>
    </row>
    <row r="29" spans="1:14" ht="42.75">
      <c r="A29" s="4" t="s">
        <v>125</v>
      </c>
      <c r="B29" s="4" t="s">
        <v>83</v>
      </c>
      <c r="C29" s="4">
        <v>26</v>
      </c>
      <c r="D29" s="4" t="s">
        <v>260</v>
      </c>
      <c r="E29" s="4">
        <v>4</v>
      </c>
      <c r="F29" s="4">
        <v>24</v>
      </c>
      <c r="G29" s="4" t="s">
        <v>127</v>
      </c>
      <c r="H29" s="4" t="s">
        <v>97</v>
      </c>
      <c r="I29" s="4" t="s">
        <v>279</v>
      </c>
      <c r="J29" s="4" t="s">
        <v>280</v>
      </c>
      <c r="K29" s="4" t="s">
        <v>281</v>
      </c>
      <c r="L29" s="4" t="s">
        <v>282</v>
      </c>
      <c r="M29" s="4" t="s">
        <v>283</v>
      </c>
      <c r="N29" s="4" t="s">
        <v>284</v>
      </c>
    </row>
    <row r="30" spans="1:14" ht="42.75">
      <c r="A30" s="4" t="s">
        <v>125</v>
      </c>
      <c r="B30" s="4" t="s">
        <v>83</v>
      </c>
      <c r="C30" s="4">
        <v>27</v>
      </c>
      <c r="D30" s="4" t="s">
        <v>285</v>
      </c>
      <c r="E30" s="4">
        <v>1</v>
      </c>
      <c r="F30" s="4">
        <v>25</v>
      </c>
      <c r="G30" s="4" t="s">
        <v>127</v>
      </c>
      <c r="H30" s="4" t="s">
        <v>97</v>
      </c>
      <c r="I30" s="4" t="s">
        <v>286</v>
      </c>
      <c r="J30" s="4" t="s">
        <v>287</v>
      </c>
      <c r="K30" s="4" t="s">
        <v>288</v>
      </c>
      <c r="L30" s="4" t="s">
        <v>289</v>
      </c>
      <c r="M30" s="4" t="s">
        <v>290</v>
      </c>
      <c r="N30" s="4" t="s">
        <v>291</v>
      </c>
    </row>
    <row r="31" spans="1:14" ht="42.75">
      <c r="A31" s="4" t="s">
        <v>125</v>
      </c>
      <c r="B31" s="4" t="s">
        <v>83</v>
      </c>
      <c r="C31" s="4">
        <v>28</v>
      </c>
      <c r="D31" s="4" t="s">
        <v>285</v>
      </c>
      <c r="E31" s="4">
        <v>2</v>
      </c>
      <c r="F31" s="4">
        <v>26</v>
      </c>
      <c r="G31" s="4" t="s">
        <v>127</v>
      </c>
      <c r="H31" s="4" t="s">
        <v>97</v>
      </c>
      <c r="I31" s="4" t="s">
        <v>292</v>
      </c>
      <c r="J31" s="4" t="s">
        <v>293</v>
      </c>
      <c r="K31" s="4" t="s">
        <v>294</v>
      </c>
      <c r="L31" s="4" t="s">
        <v>295</v>
      </c>
      <c r="M31" s="4" t="s">
        <v>296</v>
      </c>
      <c r="N31" s="4" t="s">
        <v>297</v>
      </c>
    </row>
    <row r="32" spans="1:14" ht="42.75">
      <c r="A32" s="4" t="s">
        <v>125</v>
      </c>
      <c r="B32" s="4" t="s">
        <v>83</v>
      </c>
      <c r="C32" s="4">
        <v>29</v>
      </c>
      <c r="D32" s="4" t="s">
        <v>285</v>
      </c>
      <c r="E32" s="4">
        <v>3</v>
      </c>
      <c r="F32" s="4">
        <v>27</v>
      </c>
      <c r="G32" s="4" t="s">
        <v>127</v>
      </c>
      <c r="H32" s="4" t="s">
        <v>97</v>
      </c>
      <c r="I32" s="4" t="s">
        <v>298</v>
      </c>
      <c r="J32" s="4" t="s">
        <v>299</v>
      </c>
      <c r="K32" s="4" t="s">
        <v>300</v>
      </c>
      <c r="L32" s="4" t="s">
        <v>301</v>
      </c>
      <c r="M32" s="4" t="s">
        <v>302</v>
      </c>
      <c r="N32" s="4" t="s">
        <v>303</v>
      </c>
    </row>
    <row r="33" spans="1:14" ht="42.75">
      <c r="A33" s="4" t="s">
        <v>125</v>
      </c>
      <c r="B33" s="4" t="s">
        <v>83</v>
      </c>
      <c r="C33" s="4">
        <v>30</v>
      </c>
      <c r="D33" s="4" t="s">
        <v>285</v>
      </c>
      <c r="E33" s="4">
        <v>4</v>
      </c>
      <c r="F33" s="4">
        <v>28</v>
      </c>
      <c r="G33" s="4" t="s">
        <v>127</v>
      </c>
      <c r="H33" s="4" t="s">
        <v>87</v>
      </c>
      <c r="I33" s="4" t="s">
        <v>304</v>
      </c>
      <c r="J33" s="4" t="s">
        <v>305</v>
      </c>
      <c r="K33" s="4" t="s">
        <v>306</v>
      </c>
      <c r="L33" s="4" t="s">
        <v>307</v>
      </c>
      <c r="M33" s="4" t="s">
        <v>308</v>
      </c>
      <c r="N33" s="4" t="s">
        <v>309</v>
      </c>
    </row>
    <row r="34" spans="1:14" ht="42.75">
      <c r="A34" s="4" t="s">
        <v>125</v>
      </c>
      <c r="B34" s="4" t="s">
        <v>83</v>
      </c>
      <c r="C34" s="4">
        <v>31</v>
      </c>
      <c r="D34" s="4" t="s">
        <v>285</v>
      </c>
      <c r="E34" s="4">
        <v>5</v>
      </c>
      <c r="F34" s="4">
        <v>29</v>
      </c>
      <c r="G34" s="4" t="s">
        <v>127</v>
      </c>
      <c r="H34" s="4" t="s">
        <v>87</v>
      </c>
      <c r="I34" s="4" t="s">
        <v>310</v>
      </c>
      <c r="J34" s="4" t="s">
        <v>311</v>
      </c>
      <c r="K34" s="4" t="s">
        <v>312</v>
      </c>
      <c r="L34" s="4" t="s">
        <v>313</v>
      </c>
      <c r="M34" s="4" t="s">
        <v>314</v>
      </c>
      <c r="N34" s="4" t="s">
        <v>315</v>
      </c>
    </row>
    <row r="35" spans="1:14" ht="42.75">
      <c r="A35" s="4" t="s">
        <v>125</v>
      </c>
      <c r="B35" s="4" t="s">
        <v>83</v>
      </c>
      <c r="C35" s="4">
        <v>32</v>
      </c>
      <c r="D35" s="4" t="s">
        <v>316</v>
      </c>
      <c r="E35" s="4">
        <v>1</v>
      </c>
      <c r="F35" s="4">
        <v>30</v>
      </c>
      <c r="G35" s="4" t="s">
        <v>127</v>
      </c>
      <c r="H35" s="4" t="s">
        <v>87</v>
      </c>
      <c r="I35" s="4" t="s">
        <v>317</v>
      </c>
      <c r="J35" s="4" t="s">
        <v>318</v>
      </c>
      <c r="K35" s="4" t="s">
        <v>319</v>
      </c>
      <c r="L35" s="4" t="s">
        <v>320</v>
      </c>
      <c r="M35" s="4" t="s">
        <v>321</v>
      </c>
      <c r="N35" s="4" t="s">
        <v>322</v>
      </c>
    </row>
    <row r="36" spans="1:14" ht="42.75">
      <c r="A36" s="4" t="s">
        <v>125</v>
      </c>
      <c r="B36" s="4" t="s">
        <v>83</v>
      </c>
      <c r="C36" s="4">
        <v>33</v>
      </c>
      <c r="D36" s="4" t="s">
        <v>316</v>
      </c>
      <c r="E36" s="4">
        <v>2</v>
      </c>
      <c r="F36" s="4">
        <v>31</v>
      </c>
      <c r="G36" s="4" t="s">
        <v>127</v>
      </c>
      <c r="H36" s="4" t="s">
        <v>87</v>
      </c>
      <c r="I36" s="4" t="s">
        <v>323</v>
      </c>
      <c r="J36" s="4" t="s">
        <v>324</v>
      </c>
      <c r="K36" s="4" t="s">
        <v>325</v>
      </c>
      <c r="L36" s="4" t="s">
        <v>326</v>
      </c>
      <c r="M36" s="4" t="s">
        <v>327</v>
      </c>
      <c r="N36" s="4" t="s">
        <v>328</v>
      </c>
    </row>
    <row r="37" spans="1:14" ht="42.75">
      <c r="A37" s="4" t="s">
        <v>125</v>
      </c>
      <c r="B37" s="4" t="s">
        <v>83</v>
      </c>
      <c r="C37" s="4">
        <v>34</v>
      </c>
      <c r="D37" s="4" t="s">
        <v>316</v>
      </c>
      <c r="E37" s="4">
        <v>3</v>
      </c>
      <c r="F37" s="4">
        <v>32</v>
      </c>
      <c r="G37" s="4" t="s">
        <v>127</v>
      </c>
      <c r="H37" s="4" t="s">
        <v>329</v>
      </c>
      <c r="I37" s="4" t="s">
        <v>330</v>
      </c>
      <c r="J37" s="4" t="s">
        <v>331</v>
      </c>
      <c r="K37" s="4" t="s">
        <v>332</v>
      </c>
      <c r="L37" s="4" t="s">
        <v>333</v>
      </c>
      <c r="M37" s="4" t="s">
        <v>334</v>
      </c>
      <c r="N37" s="4" t="s">
        <v>335</v>
      </c>
    </row>
    <row r="38" spans="1:14" ht="42.75">
      <c r="A38" s="4" t="s">
        <v>125</v>
      </c>
      <c r="B38" s="4" t="s">
        <v>83</v>
      </c>
      <c r="C38" s="4">
        <v>35</v>
      </c>
      <c r="D38" s="4" t="s">
        <v>316</v>
      </c>
      <c r="E38" s="4">
        <v>4</v>
      </c>
      <c r="F38" s="4">
        <v>33</v>
      </c>
      <c r="G38" s="4" t="s">
        <v>127</v>
      </c>
      <c r="H38" s="4" t="s">
        <v>336</v>
      </c>
      <c r="I38" s="4" t="s">
        <v>337</v>
      </c>
      <c r="J38" s="4" t="s">
        <v>338</v>
      </c>
      <c r="K38" s="4" t="s">
        <v>339</v>
      </c>
      <c r="L38" s="4" t="s">
        <v>340</v>
      </c>
      <c r="M38" s="4" t="s">
        <v>341</v>
      </c>
      <c r="N38" s="4" t="s">
        <v>342</v>
      </c>
    </row>
    <row r="39" spans="1:14" ht="42.75">
      <c r="A39" s="4" t="s">
        <v>125</v>
      </c>
      <c r="B39" s="4" t="s">
        <v>83</v>
      </c>
      <c r="C39" s="4">
        <v>36</v>
      </c>
      <c r="D39" s="4" t="s">
        <v>343</v>
      </c>
      <c r="E39" s="4">
        <v>1</v>
      </c>
      <c r="F39" s="4">
        <v>34</v>
      </c>
      <c r="G39" s="4" t="s">
        <v>127</v>
      </c>
      <c r="H39" s="4" t="s">
        <v>87</v>
      </c>
      <c r="I39" s="4" t="s">
        <v>344</v>
      </c>
      <c r="J39" s="4" t="s">
        <v>345</v>
      </c>
      <c r="K39" s="4" t="s">
        <v>346</v>
      </c>
      <c r="L39" s="4" t="s">
        <v>347</v>
      </c>
      <c r="M39" s="4" t="s">
        <v>348</v>
      </c>
      <c r="N39" s="4" t="s">
        <v>349</v>
      </c>
    </row>
    <row r="40" spans="1:14" ht="42.75">
      <c r="A40" s="4" t="s">
        <v>125</v>
      </c>
      <c r="B40" s="4" t="s">
        <v>83</v>
      </c>
      <c r="C40" s="4">
        <v>37</v>
      </c>
      <c r="D40" s="4" t="s">
        <v>343</v>
      </c>
      <c r="E40" s="4">
        <v>2</v>
      </c>
      <c r="F40" s="4">
        <v>35</v>
      </c>
      <c r="G40" s="4" t="s">
        <v>127</v>
      </c>
      <c r="H40" s="4" t="s">
        <v>329</v>
      </c>
      <c r="I40" s="4" t="s">
        <v>350</v>
      </c>
      <c r="J40" s="4" t="s">
        <v>351</v>
      </c>
      <c r="K40" s="4" t="s">
        <v>352</v>
      </c>
      <c r="L40" s="4" t="s">
        <v>353</v>
      </c>
      <c r="M40" s="4" t="s">
        <v>354</v>
      </c>
      <c r="N40" s="4" t="s">
        <v>355</v>
      </c>
    </row>
    <row r="41" spans="1:14" ht="42.75">
      <c r="A41" s="4" t="s">
        <v>125</v>
      </c>
      <c r="B41" s="4" t="s">
        <v>83</v>
      </c>
      <c r="C41" s="4">
        <v>38</v>
      </c>
      <c r="D41" s="4" t="s">
        <v>343</v>
      </c>
      <c r="E41" s="4">
        <v>3</v>
      </c>
      <c r="F41" s="4">
        <v>36</v>
      </c>
      <c r="G41" s="4" t="s">
        <v>127</v>
      </c>
      <c r="H41" s="4" t="s">
        <v>329</v>
      </c>
      <c r="I41" s="4" t="s">
        <v>356</v>
      </c>
      <c r="J41" s="4" t="s">
        <v>357</v>
      </c>
      <c r="K41" s="4" t="s">
        <v>358</v>
      </c>
      <c r="L41" s="4" t="s">
        <v>359</v>
      </c>
      <c r="M41" s="4" t="s">
        <v>360</v>
      </c>
      <c r="N41" s="4" t="s">
        <v>361</v>
      </c>
    </row>
    <row r="42" spans="1:14" ht="42.75">
      <c r="A42" s="4" t="s">
        <v>125</v>
      </c>
      <c r="B42" s="4" t="s">
        <v>83</v>
      </c>
      <c r="C42" s="4">
        <v>39</v>
      </c>
      <c r="D42" s="4" t="s">
        <v>343</v>
      </c>
      <c r="E42" s="4">
        <v>4</v>
      </c>
      <c r="F42" s="4">
        <v>37</v>
      </c>
      <c r="G42" s="4" t="s">
        <v>127</v>
      </c>
      <c r="H42" s="4" t="s">
        <v>329</v>
      </c>
      <c r="I42" s="4" t="s">
        <v>362</v>
      </c>
      <c r="J42" s="4" t="s">
        <v>363</v>
      </c>
      <c r="K42" s="4" t="s">
        <v>364</v>
      </c>
      <c r="L42" s="4" t="s">
        <v>365</v>
      </c>
      <c r="M42" s="4" t="s">
        <v>366</v>
      </c>
      <c r="N42" s="4" t="s">
        <v>367</v>
      </c>
    </row>
    <row r="43" spans="1:14" ht="42.75">
      <c r="A43" s="4" t="s">
        <v>125</v>
      </c>
      <c r="B43" s="4" t="s">
        <v>83</v>
      </c>
      <c r="C43" s="4">
        <v>40</v>
      </c>
      <c r="D43" s="4" t="s">
        <v>368</v>
      </c>
      <c r="E43" s="4">
        <v>1</v>
      </c>
      <c r="F43" s="4">
        <v>38</v>
      </c>
      <c r="G43" s="4" t="s">
        <v>127</v>
      </c>
      <c r="H43" s="4" t="s">
        <v>329</v>
      </c>
      <c r="I43" s="4" t="s">
        <v>369</v>
      </c>
      <c r="J43" s="4" t="s">
        <v>370</v>
      </c>
      <c r="K43" s="4" t="s">
        <v>371</v>
      </c>
      <c r="L43" s="4" t="s">
        <v>372</v>
      </c>
      <c r="M43" s="4" t="s">
        <v>373</v>
      </c>
      <c r="N43" s="4" t="s">
        <v>374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workbookViewId="0"/>
  </sheetViews>
  <sheetFormatPr baseColWidth="10" defaultColWidth="9" defaultRowHeight="14.25"/>
  <cols>
    <col min="1" max="1" width="16" customWidth="1"/>
    <col min="2" max="2" width="18" customWidth="1"/>
    <col min="3" max="3" width="15" customWidth="1"/>
    <col min="4" max="4" width="12" customWidth="1"/>
    <col min="5" max="6" width="13" customWidth="1"/>
    <col min="7" max="7" width="18" customWidth="1"/>
    <col min="8" max="8" width="28" customWidth="1"/>
    <col min="9" max="9" width="48" customWidth="1"/>
    <col min="10" max="11" width="42" customWidth="1"/>
    <col min="12" max="12" width="46" customWidth="1"/>
    <col min="13" max="13" width="42" customWidth="1"/>
    <col min="14" max="14" width="46" customWidth="1"/>
  </cols>
  <sheetData>
    <row r="1" spans="1:14" ht="18">
      <c r="A1" s="6" t="s">
        <v>833</v>
      </c>
      <c r="B1" s="6" t="s">
        <v>833</v>
      </c>
      <c r="C1" s="6" t="s">
        <v>833</v>
      </c>
      <c r="D1" s="6" t="s">
        <v>833</v>
      </c>
      <c r="E1" s="6" t="s">
        <v>833</v>
      </c>
      <c r="F1" s="6" t="s">
        <v>833</v>
      </c>
      <c r="G1" s="6" t="s">
        <v>833</v>
      </c>
      <c r="H1" s="6" t="s">
        <v>833</v>
      </c>
      <c r="I1" s="6" t="s">
        <v>833</v>
      </c>
      <c r="J1" s="6" t="s">
        <v>833</v>
      </c>
      <c r="K1" s="6" t="s">
        <v>833</v>
      </c>
      <c r="L1" s="6" t="s">
        <v>833</v>
      </c>
      <c r="M1" s="6" t="s">
        <v>833</v>
      </c>
      <c r="N1" s="6" t="s">
        <v>833</v>
      </c>
    </row>
    <row r="3" spans="1:14" ht="30">
      <c r="A3" s="3" t="s">
        <v>8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 t="s">
        <v>122</v>
      </c>
      <c r="M3" s="3" t="s">
        <v>123</v>
      </c>
      <c r="N3" s="3" t="s">
        <v>124</v>
      </c>
    </row>
    <row r="4" spans="1:14" ht="42.75">
      <c r="A4" s="4" t="s">
        <v>125</v>
      </c>
      <c r="B4" s="4" t="s">
        <v>84</v>
      </c>
      <c r="C4" s="4">
        <v>1</v>
      </c>
      <c r="D4" s="4" t="s">
        <v>126</v>
      </c>
      <c r="E4" s="4">
        <v>1</v>
      </c>
      <c r="F4" s="4">
        <v>1</v>
      </c>
      <c r="G4" s="4" t="s">
        <v>127</v>
      </c>
      <c r="H4" s="4" t="s">
        <v>375</v>
      </c>
      <c r="I4" s="4" t="s">
        <v>376</v>
      </c>
      <c r="J4" s="4" t="s">
        <v>377</v>
      </c>
      <c r="K4" s="4" t="s">
        <v>378</v>
      </c>
      <c r="L4" s="4" t="s">
        <v>379</v>
      </c>
      <c r="M4" s="4" t="s">
        <v>380</v>
      </c>
      <c r="N4" s="4" t="s">
        <v>381</v>
      </c>
    </row>
    <row r="5" spans="1:14" ht="42.75">
      <c r="A5" s="4" t="s">
        <v>125</v>
      </c>
      <c r="B5" s="4" t="s">
        <v>84</v>
      </c>
      <c r="C5" s="4">
        <v>2</v>
      </c>
      <c r="D5" s="4" t="s">
        <v>126</v>
      </c>
      <c r="E5" s="4">
        <v>2</v>
      </c>
      <c r="F5" s="4">
        <v>2</v>
      </c>
      <c r="G5" s="4" t="s">
        <v>127</v>
      </c>
      <c r="H5" s="4" t="s">
        <v>375</v>
      </c>
      <c r="I5" s="4" t="s">
        <v>382</v>
      </c>
      <c r="J5" s="4" t="s">
        <v>383</v>
      </c>
      <c r="K5" s="4" t="s">
        <v>384</v>
      </c>
      <c r="L5" s="4" t="s">
        <v>385</v>
      </c>
      <c r="M5" s="4" t="s">
        <v>386</v>
      </c>
      <c r="N5" s="4" t="s">
        <v>387</v>
      </c>
    </row>
    <row r="6" spans="1:14" ht="28.5">
      <c r="A6" s="4" t="s">
        <v>125</v>
      </c>
      <c r="B6" s="4" t="s">
        <v>84</v>
      </c>
      <c r="C6" s="4">
        <v>3</v>
      </c>
      <c r="D6" s="4" t="s">
        <v>126</v>
      </c>
      <c r="E6" s="4">
        <v>3</v>
      </c>
      <c r="F6" s="4">
        <v>3</v>
      </c>
      <c r="G6" s="4" t="s">
        <v>127</v>
      </c>
      <c r="H6" s="4" t="s">
        <v>375</v>
      </c>
      <c r="I6" s="4" t="s">
        <v>388</v>
      </c>
      <c r="J6" s="4" t="s">
        <v>389</v>
      </c>
      <c r="K6" s="4" t="s">
        <v>390</v>
      </c>
      <c r="L6" s="4" t="s">
        <v>391</v>
      </c>
      <c r="M6" s="4" t="s">
        <v>392</v>
      </c>
      <c r="N6" s="4" t="s">
        <v>393</v>
      </c>
    </row>
    <row r="7" spans="1:14" ht="42.75">
      <c r="A7" s="4" t="s">
        <v>125</v>
      </c>
      <c r="B7" s="4" t="s">
        <v>84</v>
      </c>
      <c r="C7" s="4">
        <v>4</v>
      </c>
      <c r="D7" s="4" t="s">
        <v>126</v>
      </c>
      <c r="E7" s="4">
        <v>4</v>
      </c>
      <c r="F7" s="4">
        <v>4</v>
      </c>
      <c r="G7" s="4" t="s">
        <v>127</v>
      </c>
      <c r="H7" s="4" t="s">
        <v>375</v>
      </c>
      <c r="I7" s="4" t="s">
        <v>394</v>
      </c>
      <c r="J7" s="4" t="s">
        <v>395</v>
      </c>
      <c r="K7" s="4" t="s">
        <v>396</v>
      </c>
      <c r="L7" s="4" t="s">
        <v>397</v>
      </c>
      <c r="M7" s="4" t="s">
        <v>398</v>
      </c>
      <c r="N7" s="4" t="s">
        <v>399</v>
      </c>
    </row>
    <row r="8" spans="1:14" ht="42.75">
      <c r="A8" s="4" t="s">
        <v>125</v>
      </c>
      <c r="B8" s="4" t="s">
        <v>84</v>
      </c>
      <c r="C8" s="4">
        <v>5</v>
      </c>
      <c r="D8" s="4" t="s">
        <v>152</v>
      </c>
      <c r="E8" s="4">
        <v>1</v>
      </c>
      <c r="F8" s="4">
        <v>5</v>
      </c>
      <c r="G8" s="4" t="s">
        <v>127</v>
      </c>
      <c r="H8" s="4" t="s">
        <v>375</v>
      </c>
      <c r="I8" s="4" t="s">
        <v>400</v>
      </c>
      <c r="J8" s="4" t="s">
        <v>401</v>
      </c>
      <c r="K8" s="4" t="s">
        <v>402</v>
      </c>
      <c r="L8" s="4" t="s">
        <v>403</v>
      </c>
      <c r="M8" s="4" t="s">
        <v>404</v>
      </c>
      <c r="N8" s="4" t="s">
        <v>405</v>
      </c>
    </row>
    <row r="9" spans="1:14" ht="28.5">
      <c r="A9" s="4" t="s">
        <v>125</v>
      </c>
      <c r="B9" s="4" t="s">
        <v>84</v>
      </c>
      <c r="C9" s="4">
        <v>6</v>
      </c>
      <c r="D9" s="4" t="s">
        <v>152</v>
      </c>
      <c r="E9" s="4">
        <v>2</v>
      </c>
      <c r="F9" s="4">
        <v>6</v>
      </c>
      <c r="G9" s="4" t="s">
        <v>127</v>
      </c>
      <c r="H9" s="4" t="s">
        <v>375</v>
      </c>
      <c r="I9" s="4" t="s">
        <v>406</v>
      </c>
      <c r="J9" s="4" t="s">
        <v>407</v>
      </c>
      <c r="K9" s="4" t="s">
        <v>408</v>
      </c>
      <c r="L9" s="4" t="s">
        <v>409</v>
      </c>
      <c r="M9" s="4" t="s">
        <v>410</v>
      </c>
      <c r="N9" s="4" t="s">
        <v>411</v>
      </c>
    </row>
    <row r="10" spans="1:14" ht="42.75">
      <c r="A10" s="4" t="s">
        <v>125</v>
      </c>
      <c r="B10" s="4" t="s">
        <v>84</v>
      </c>
      <c r="C10" s="4">
        <v>7</v>
      </c>
      <c r="D10" s="4" t="s">
        <v>152</v>
      </c>
      <c r="E10" s="4">
        <v>3</v>
      </c>
      <c r="F10" s="4">
        <v>7</v>
      </c>
      <c r="G10" s="4" t="s">
        <v>127</v>
      </c>
      <c r="H10" s="4" t="s">
        <v>375</v>
      </c>
      <c r="I10" s="4" t="s">
        <v>412</v>
      </c>
      <c r="J10" s="4" t="s">
        <v>413</v>
      </c>
      <c r="K10" s="4" t="s">
        <v>414</v>
      </c>
      <c r="L10" s="4" t="s">
        <v>415</v>
      </c>
      <c r="M10" s="4" t="s">
        <v>416</v>
      </c>
      <c r="N10" s="4" t="s">
        <v>417</v>
      </c>
    </row>
    <row r="11" spans="1:14" ht="42.75">
      <c r="A11" s="4" t="s">
        <v>125</v>
      </c>
      <c r="B11" s="4" t="s">
        <v>84</v>
      </c>
      <c r="C11" s="4">
        <v>8</v>
      </c>
      <c r="D11" s="4" t="s">
        <v>152</v>
      </c>
      <c r="E11" s="4">
        <v>4</v>
      </c>
      <c r="F11" s="4">
        <v>8</v>
      </c>
      <c r="G11" s="4" t="s">
        <v>127</v>
      </c>
      <c r="H11" s="4" t="s">
        <v>375</v>
      </c>
      <c r="I11" s="4" t="s">
        <v>418</v>
      </c>
      <c r="J11" s="4" t="s">
        <v>419</v>
      </c>
      <c r="K11" s="4" t="s">
        <v>420</v>
      </c>
      <c r="L11" s="4" t="s">
        <v>421</v>
      </c>
      <c r="M11" s="4" t="s">
        <v>422</v>
      </c>
      <c r="N11" s="4" t="s">
        <v>423</v>
      </c>
    </row>
    <row r="12" spans="1:14" ht="42.75">
      <c r="A12" s="4" t="s">
        <v>125</v>
      </c>
      <c r="B12" s="4" t="s">
        <v>84</v>
      </c>
      <c r="C12" s="4">
        <v>9</v>
      </c>
      <c r="D12" s="4" t="s">
        <v>177</v>
      </c>
      <c r="E12" s="4">
        <v>1</v>
      </c>
      <c r="F12" s="4">
        <v>9</v>
      </c>
      <c r="G12" s="4" t="s">
        <v>127</v>
      </c>
      <c r="H12" s="4" t="s">
        <v>375</v>
      </c>
      <c r="I12" s="4" t="s">
        <v>424</v>
      </c>
      <c r="J12" s="4" t="s">
        <v>425</v>
      </c>
      <c r="K12" s="4" t="s">
        <v>426</v>
      </c>
      <c r="L12" s="4" t="s">
        <v>427</v>
      </c>
      <c r="M12" s="4" t="s">
        <v>428</v>
      </c>
      <c r="N12" s="4" t="s">
        <v>429</v>
      </c>
    </row>
    <row r="13" spans="1:14" ht="42.75">
      <c r="A13" s="4" t="s">
        <v>125</v>
      </c>
      <c r="B13" s="4" t="s">
        <v>84</v>
      </c>
      <c r="C13" s="4">
        <v>10</v>
      </c>
      <c r="D13" s="4" t="s">
        <v>177</v>
      </c>
      <c r="E13" s="4">
        <v>2</v>
      </c>
      <c r="F13" s="4">
        <v>10</v>
      </c>
      <c r="G13" s="4" t="s">
        <v>127</v>
      </c>
      <c r="H13" s="4" t="s">
        <v>375</v>
      </c>
      <c r="I13" s="4" t="s">
        <v>430</v>
      </c>
      <c r="J13" s="4" t="s">
        <v>431</v>
      </c>
      <c r="K13" s="4" t="s">
        <v>432</v>
      </c>
      <c r="L13" s="4" t="s">
        <v>433</v>
      </c>
      <c r="M13" s="4" t="s">
        <v>434</v>
      </c>
      <c r="N13" s="4" t="s">
        <v>435</v>
      </c>
    </row>
    <row r="14" spans="1:14" ht="42.75">
      <c r="A14" s="4" t="s">
        <v>125</v>
      </c>
      <c r="B14" s="4" t="s">
        <v>84</v>
      </c>
      <c r="C14" s="4">
        <v>11</v>
      </c>
      <c r="D14" s="4" t="s">
        <v>177</v>
      </c>
      <c r="E14" s="4">
        <v>3</v>
      </c>
      <c r="F14" s="4">
        <v>11</v>
      </c>
      <c r="G14" s="4" t="s">
        <v>127</v>
      </c>
      <c r="H14" s="4" t="s">
        <v>375</v>
      </c>
      <c r="I14" s="4" t="s">
        <v>436</v>
      </c>
      <c r="J14" s="4" t="s">
        <v>437</v>
      </c>
      <c r="K14" s="4" t="s">
        <v>438</v>
      </c>
      <c r="L14" s="4" t="s">
        <v>439</v>
      </c>
      <c r="M14" s="4" t="s">
        <v>440</v>
      </c>
      <c r="N14" s="4" t="s">
        <v>441</v>
      </c>
    </row>
    <row r="15" spans="1:14" ht="42.75">
      <c r="A15" s="4" t="s">
        <v>125</v>
      </c>
      <c r="B15" s="4" t="s">
        <v>84</v>
      </c>
      <c r="C15" s="4">
        <v>12</v>
      </c>
      <c r="D15" s="4" t="s">
        <v>177</v>
      </c>
      <c r="E15" s="4">
        <v>4</v>
      </c>
      <c r="F15" s="4">
        <v>12</v>
      </c>
      <c r="G15" s="4" t="s">
        <v>127</v>
      </c>
      <c r="H15" s="4" t="s">
        <v>375</v>
      </c>
      <c r="I15" s="4" t="s">
        <v>442</v>
      </c>
      <c r="J15" s="4" t="s">
        <v>443</v>
      </c>
      <c r="K15" s="4" t="s">
        <v>444</v>
      </c>
      <c r="L15" s="4" t="s">
        <v>445</v>
      </c>
      <c r="M15" s="4" t="s">
        <v>446</v>
      </c>
      <c r="N15" s="4" t="s">
        <v>447</v>
      </c>
    </row>
    <row r="16" spans="1:14" ht="42.75">
      <c r="A16" s="4" t="s">
        <v>125</v>
      </c>
      <c r="B16" s="4" t="s">
        <v>84</v>
      </c>
      <c r="C16" s="4">
        <v>13</v>
      </c>
      <c r="D16" s="4" t="s">
        <v>177</v>
      </c>
      <c r="E16" s="4">
        <v>5</v>
      </c>
      <c r="F16" s="4">
        <v>13</v>
      </c>
      <c r="G16" s="4" t="s">
        <v>127</v>
      </c>
      <c r="H16" s="4" t="s">
        <v>375</v>
      </c>
      <c r="I16" s="4" t="s">
        <v>448</v>
      </c>
      <c r="J16" s="4" t="s">
        <v>449</v>
      </c>
      <c r="K16" s="4" t="s">
        <v>450</v>
      </c>
      <c r="L16" s="4" t="s">
        <v>451</v>
      </c>
      <c r="M16" s="4" t="s">
        <v>452</v>
      </c>
      <c r="N16" s="4" t="s">
        <v>453</v>
      </c>
    </row>
    <row r="17" spans="1:14" ht="28.5">
      <c r="A17" s="4" t="s">
        <v>125</v>
      </c>
      <c r="B17" s="4" t="s">
        <v>84</v>
      </c>
      <c r="C17" s="4">
        <v>14</v>
      </c>
      <c r="D17" s="4" t="s">
        <v>209</v>
      </c>
      <c r="E17" s="4">
        <v>1</v>
      </c>
      <c r="F17" s="4">
        <v>14</v>
      </c>
      <c r="G17" s="4" t="s">
        <v>127</v>
      </c>
      <c r="H17" s="4" t="s">
        <v>178</v>
      </c>
      <c r="I17" s="4" t="s">
        <v>454</v>
      </c>
      <c r="J17" s="4" t="s">
        <v>455</v>
      </c>
      <c r="K17" s="4" t="s">
        <v>456</v>
      </c>
      <c r="L17" s="4" t="s">
        <v>457</v>
      </c>
      <c r="M17" s="4" t="s">
        <v>458</v>
      </c>
      <c r="N17" s="4" t="s">
        <v>459</v>
      </c>
    </row>
    <row r="18" spans="1:14" ht="42.75">
      <c r="A18" s="4" t="s">
        <v>125</v>
      </c>
      <c r="B18" s="4" t="s">
        <v>84</v>
      </c>
      <c r="C18" s="4">
        <v>15</v>
      </c>
      <c r="D18" s="4" t="s">
        <v>209</v>
      </c>
      <c r="E18" s="4">
        <v>2</v>
      </c>
      <c r="F18" s="4">
        <v>15</v>
      </c>
      <c r="G18" s="4" t="s">
        <v>127</v>
      </c>
      <c r="H18" s="4" t="s">
        <v>178</v>
      </c>
      <c r="I18" s="4" t="s">
        <v>460</v>
      </c>
      <c r="J18" s="4" t="s">
        <v>461</v>
      </c>
      <c r="K18" s="4" t="s">
        <v>462</v>
      </c>
      <c r="L18" s="4" t="s">
        <v>463</v>
      </c>
      <c r="M18" s="4" t="s">
        <v>464</v>
      </c>
      <c r="N18" s="4" t="s">
        <v>465</v>
      </c>
    </row>
    <row r="19" spans="1:14" ht="42.75">
      <c r="A19" s="4" t="s">
        <v>125</v>
      </c>
      <c r="B19" s="4" t="s">
        <v>84</v>
      </c>
      <c r="C19" s="4">
        <v>16</v>
      </c>
      <c r="D19" s="4" t="s">
        <v>209</v>
      </c>
      <c r="E19" s="4">
        <v>3</v>
      </c>
      <c r="F19" s="4">
        <v>16</v>
      </c>
      <c r="G19" s="4" t="s">
        <v>127</v>
      </c>
      <c r="H19" s="4" t="s">
        <v>178</v>
      </c>
      <c r="I19" s="4" t="s">
        <v>466</v>
      </c>
      <c r="J19" s="4" t="s">
        <v>467</v>
      </c>
      <c r="K19" s="4" t="s">
        <v>468</v>
      </c>
      <c r="L19" s="4" t="s">
        <v>469</v>
      </c>
      <c r="M19" s="4" t="s">
        <v>470</v>
      </c>
      <c r="N19" s="4" t="s">
        <v>471</v>
      </c>
    </row>
    <row r="20" spans="1:14" ht="42.75">
      <c r="A20" s="4" t="s">
        <v>125</v>
      </c>
      <c r="B20" s="4" t="s">
        <v>84</v>
      </c>
      <c r="C20" s="4">
        <v>17</v>
      </c>
      <c r="D20" s="4" t="s">
        <v>209</v>
      </c>
      <c r="E20" s="4">
        <v>4</v>
      </c>
      <c r="F20" s="4">
        <v>17</v>
      </c>
      <c r="G20" s="4" t="s">
        <v>127</v>
      </c>
      <c r="H20" s="4" t="s">
        <v>178</v>
      </c>
      <c r="I20" s="4" t="s">
        <v>472</v>
      </c>
      <c r="J20" s="4" t="s">
        <v>473</v>
      </c>
      <c r="K20" s="4" t="s">
        <v>474</v>
      </c>
      <c r="L20" s="4" t="s">
        <v>475</v>
      </c>
      <c r="M20" s="4" t="s">
        <v>476</v>
      </c>
      <c r="N20" s="4" t="s">
        <v>477</v>
      </c>
    </row>
    <row r="21" spans="1:14" ht="42.75">
      <c r="A21" s="4" t="s">
        <v>125</v>
      </c>
      <c r="B21" s="4" t="s">
        <v>84</v>
      </c>
      <c r="C21" s="4">
        <v>18</v>
      </c>
      <c r="D21" s="4" t="s">
        <v>235</v>
      </c>
      <c r="E21" s="4">
        <v>1</v>
      </c>
      <c r="F21" s="4">
        <v>18</v>
      </c>
      <c r="G21" s="4" t="s">
        <v>127</v>
      </c>
      <c r="H21" s="4" t="s">
        <v>178</v>
      </c>
      <c r="I21" s="4" t="s">
        <v>478</v>
      </c>
      <c r="J21" s="4" t="s">
        <v>479</v>
      </c>
      <c r="K21" s="4" t="s">
        <v>480</v>
      </c>
      <c r="L21" s="4" t="s">
        <v>481</v>
      </c>
      <c r="M21" s="4" t="s">
        <v>482</v>
      </c>
      <c r="N21" s="4" t="s">
        <v>483</v>
      </c>
    </row>
    <row r="22" spans="1:14" ht="42.75">
      <c r="A22" s="5" t="s">
        <v>125</v>
      </c>
      <c r="B22" s="5" t="s">
        <v>84</v>
      </c>
      <c r="C22" s="5">
        <v>19</v>
      </c>
      <c r="D22" s="5" t="s">
        <v>235</v>
      </c>
      <c r="E22" s="5">
        <v>2</v>
      </c>
      <c r="F22" s="5"/>
      <c r="G22" s="5" t="s">
        <v>242</v>
      </c>
      <c r="H22" s="5" t="s">
        <v>17</v>
      </c>
      <c r="I22" s="5" t="s">
        <v>243</v>
      </c>
      <c r="J22" s="5" t="s">
        <v>244</v>
      </c>
      <c r="K22" s="5" t="s">
        <v>245</v>
      </c>
      <c r="L22" s="5" t="s">
        <v>246</v>
      </c>
      <c r="M22" s="5" t="s">
        <v>247</v>
      </c>
      <c r="N22" s="5" t="s">
        <v>248</v>
      </c>
    </row>
    <row r="23" spans="1:14" ht="42.75">
      <c r="A23" s="5" t="s">
        <v>125</v>
      </c>
      <c r="B23" s="5" t="s">
        <v>84</v>
      </c>
      <c r="C23" s="5">
        <v>20</v>
      </c>
      <c r="D23" s="5" t="s">
        <v>235</v>
      </c>
      <c r="E23" s="5">
        <v>3</v>
      </c>
      <c r="F23" s="5"/>
      <c r="G23" s="5" t="s">
        <v>242</v>
      </c>
      <c r="H23" s="5" t="s">
        <v>17</v>
      </c>
      <c r="I23" s="5" t="s">
        <v>243</v>
      </c>
      <c r="J23" s="5" t="s">
        <v>244</v>
      </c>
      <c r="K23" s="5" t="s">
        <v>245</v>
      </c>
      <c r="L23" s="5" t="s">
        <v>246</v>
      </c>
      <c r="M23" s="5" t="s">
        <v>247</v>
      </c>
      <c r="N23" s="5" t="s">
        <v>248</v>
      </c>
    </row>
    <row r="24" spans="1:14" ht="42.75">
      <c r="A24" s="4" t="s">
        <v>125</v>
      </c>
      <c r="B24" s="4" t="s">
        <v>84</v>
      </c>
      <c r="C24" s="4">
        <v>21</v>
      </c>
      <c r="D24" s="4" t="s">
        <v>235</v>
      </c>
      <c r="E24" s="4">
        <v>4</v>
      </c>
      <c r="F24" s="4">
        <v>19</v>
      </c>
      <c r="G24" s="4" t="s">
        <v>127</v>
      </c>
      <c r="H24" s="4" t="s">
        <v>228</v>
      </c>
      <c r="I24" s="4" t="s">
        <v>484</v>
      </c>
      <c r="J24" s="4" t="s">
        <v>485</v>
      </c>
      <c r="K24" s="4" t="s">
        <v>486</v>
      </c>
      <c r="L24" s="4" t="s">
        <v>487</v>
      </c>
      <c r="M24" s="4" t="s">
        <v>488</v>
      </c>
      <c r="N24" s="4" t="s">
        <v>489</v>
      </c>
    </row>
    <row r="25" spans="1:14" ht="28.5">
      <c r="A25" s="4" t="s">
        <v>125</v>
      </c>
      <c r="B25" s="4" t="s">
        <v>84</v>
      </c>
      <c r="C25" s="4">
        <v>22</v>
      </c>
      <c r="D25" s="4" t="s">
        <v>235</v>
      </c>
      <c r="E25" s="4">
        <v>5</v>
      </c>
      <c r="F25" s="4">
        <v>20</v>
      </c>
      <c r="G25" s="4" t="s">
        <v>127</v>
      </c>
      <c r="H25" s="4" t="s">
        <v>178</v>
      </c>
      <c r="I25" s="4" t="s">
        <v>490</v>
      </c>
      <c r="J25" s="4" t="s">
        <v>491</v>
      </c>
      <c r="K25" s="4" t="s">
        <v>492</v>
      </c>
      <c r="L25" s="4" t="s">
        <v>493</v>
      </c>
      <c r="M25" s="4" t="s">
        <v>494</v>
      </c>
      <c r="N25" s="4" t="s">
        <v>495</v>
      </c>
    </row>
    <row r="26" spans="1:14" ht="42.75">
      <c r="A26" s="4" t="s">
        <v>125</v>
      </c>
      <c r="B26" s="4" t="s">
        <v>84</v>
      </c>
      <c r="C26" s="4">
        <v>23</v>
      </c>
      <c r="D26" s="4" t="s">
        <v>260</v>
      </c>
      <c r="E26" s="4">
        <v>1</v>
      </c>
      <c r="F26" s="4">
        <v>21</v>
      </c>
      <c r="G26" s="4" t="s">
        <v>127</v>
      </c>
      <c r="H26" s="4" t="s">
        <v>97</v>
      </c>
      <c r="I26" s="4" t="s">
        <v>496</v>
      </c>
      <c r="J26" s="4" t="s">
        <v>497</v>
      </c>
      <c r="K26" s="4" t="s">
        <v>498</v>
      </c>
      <c r="L26" s="4" t="s">
        <v>499</v>
      </c>
      <c r="M26" s="4" t="s">
        <v>500</v>
      </c>
      <c r="N26" s="4" t="s">
        <v>501</v>
      </c>
    </row>
    <row r="27" spans="1:14" ht="42.75">
      <c r="A27" s="4" t="s">
        <v>125</v>
      </c>
      <c r="B27" s="4" t="s">
        <v>84</v>
      </c>
      <c r="C27" s="4">
        <v>24</v>
      </c>
      <c r="D27" s="4" t="s">
        <v>260</v>
      </c>
      <c r="E27" s="4">
        <v>2</v>
      </c>
      <c r="F27" s="4">
        <v>22</v>
      </c>
      <c r="G27" s="4" t="s">
        <v>127</v>
      </c>
      <c r="H27" s="4" t="s">
        <v>97</v>
      </c>
      <c r="I27" s="4" t="s">
        <v>502</v>
      </c>
      <c r="J27" s="4" t="s">
        <v>503</v>
      </c>
      <c r="K27" s="4" t="s">
        <v>504</v>
      </c>
      <c r="L27" s="4" t="s">
        <v>505</v>
      </c>
      <c r="M27" s="4" t="s">
        <v>506</v>
      </c>
      <c r="N27" s="4" t="s">
        <v>507</v>
      </c>
    </row>
    <row r="28" spans="1:14" ht="28.5">
      <c r="A28" s="4" t="s">
        <v>125</v>
      </c>
      <c r="B28" s="4" t="s">
        <v>84</v>
      </c>
      <c r="C28" s="4">
        <v>25</v>
      </c>
      <c r="D28" s="4" t="s">
        <v>260</v>
      </c>
      <c r="E28" s="4">
        <v>3</v>
      </c>
      <c r="F28" s="4">
        <v>23</v>
      </c>
      <c r="G28" s="4" t="s">
        <v>127</v>
      </c>
      <c r="H28" s="4" t="s">
        <v>97</v>
      </c>
      <c r="I28" s="4" t="s">
        <v>508</v>
      </c>
      <c r="J28" s="4" t="s">
        <v>509</v>
      </c>
      <c r="K28" s="4" t="s">
        <v>510</v>
      </c>
      <c r="L28" s="4" t="s">
        <v>511</v>
      </c>
      <c r="M28" s="4" t="s">
        <v>512</v>
      </c>
      <c r="N28" s="4" t="s">
        <v>513</v>
      </c>
    </row>
    <row r="29" spans="1:14" ht="42.75">
      <c r="A29" s="4" t="s">
        <v>125</v>
      </c>
      <c r="B29" s="4" t="s">
        <v>84</v>
      </c>
      <c r="C29" s="4">
        <v>26</v>
      </c>
      <c r="D29" s="4" t="s">
        <v>260</v>
      </c>
      <c r="E29" s="4">
        <v>4</v>
      </c>
      <c r="F29" s="4">
        <v>24</v>
      </c>
      <c r="G29" s="4" t="s">
        <v>127</v>
      </c>
      <c r="H29" s="4" t="s">
        <v>97</v>
      </c>
      <c r="I29" s="4" t="s">
        <v>514</v>
      </c>
      <c r="J29" s="4" t="s">
        <v>515</v>
      </c>
      <c r="K29" s="4" t="s">
        <v>516</v>
      </c>
      <c r="L29" s="4" t="s">
        <v>517</v>
      </c>
      <c r="M29" s="4" t="s">
        <v>518</v>
      </c>
      <c r="N29" s="4" t="s">
        <v>519</v>
      </c>
    </row>
    <row r="30" spans="1:14" ht="42.75">
      <c r="A30" s="4" t="s">
        <v>125</v>
      </c>
      <c r="B30" s="4" t="s">
        <v>84</v>
      </c>
      <c r="C30" s="4">
        <v>27</v>
      </c>
      <c r="D30" s="4" t="s">
        <v>285</v>
      </c>
      <c r="E30" s="4">
        <v>1</v>
      </c>
      <c r="F30" s="4">
        <v>25</v>
      </c>
      <c r="G30" s="4" t="s">
        <v>127</v>
      </c>
      <c r="H30" s="4" t="s">
        <v>97</v>
      </c>
      <c r="I30" s="4" t="s">
        <v>520</v>
      </c>
      <c r="J30" s="4" t="s">
        <v>521</v>
      </c>
      <c r="K30" s="4" t="s">
        <v>522</v>
      </c>
      <c r="L30" s="4" t="s">
        <v>523</v>
      </c>
      <c r="M30" s="4" t="s">
        <v>524</v>
      </c>
      <c r="N30" s="4" t="s">
        <v>525</v>
      </c>
    </row>
    <row r="31" spans="1:14" ht="42.75">
      <c r="A31" s="4" t="s">
        <v>125</v>
      </c>
      <c r="B31" s="4" t="s">
        <v>84</v>
      </c>
      <c r="C31" s="4">
        <v>28</v>
      </c>
      <c r="D31" s="4" t="s">
        <v>285</v>
      </c>
      <c r="E31" s="4">
        <v>2</v>
      </c>
      <c r="F31" s="4">
        <v>26</v>
      </c>
      <c r="G31" s="4" t="s">
        <v>127</v>
      </c>
      <c r="H31" s="4" t="s">
        <v>97</v>
      </c>
      <c r="I31" s="4" t="s">
        <v>526</v>
      </c>
      <c r="J31" s="4" t="s">
        <v>527</v>
      </c>
      <c r="K31" s="4" t="s">
        <v>528</v>
      </c>
      <c r="L31" s="4" t="s">
        <v>529</v>
      </c>
      <c r="M31" s="4" t="s">
        <v>530</v>
      </c>
      <c r="N31" s="4" t="s">
        <v>531</v>
      </c>
    </row>
    <row r="32" spans="1:14" ht="42.75">
      <c r="A32" s="4" t="s">
        <v>125</v>
      </c>
      <c r="B32" s="4" t="s">
        <v>84</v>
      </c>
      <c r="C32" s="4">
        <v>29</v>
      </c>
      <c r="D32" s="4" t="s">
        <v>285</v>
      </c>
      <c r="E32" s="4">
        <v>3</v>
      </c>
      <c r="F32" s="4">
        <v>27</v>
      </c>
      <c r="G32" s="4" t="s">
        <v>127</v>
      </c>
      <c r="H32" s="4" t="s">
        <v>97</v>
      </c>
      <c r="I32" s="4" t="s">
        <v>532</v>
      </c>
      <c r="J32" s="4" t="s">
        <v>533</v>
      </c>
      <c r="K32" s="4" t="s">
        <v>534</v>
      </c>
      <c r="L32" s="4" t="s">
        <v>535</v>
      </c>
      <c r="M32" s="4" t="s">
        <v>536</v>
      </c>
      <c r="N32" s="4" t="s">
        <v>537</v>
      </c>
    </row>
    <row r="33" spans="1:14" ht="42.75">
      <c r="A33" s="4" t="s">
        <v>125</v>
      </c>
      <c r="B33" s="4" t="s">
        <v>84</v>
      </c>
      <c r="C33" s="4">
        <v>30</v>
      </c>
      <c r="D33" s="4" t="s">
        <v>285</v>
      </c>
      <c r="E33" s="4">
        <v>4</v>
      </c>
      <c r="F33" s="4">
        <v>28</v>
      </c>
      <c r="G33" s="4" t="s">
        <v>127</v>
      </c>
      <c r="H33" s="4" t="s">
        <v>38</v>
      </c>
      <c r="I33" s="4" t="s">
        <v>538</v>
      </c>
      <c r="J33" s="4" t="s">
        <v>539</v>
      </c>
      <c r="K33" s="4" t="s">
        <v>540</v>
      </c>
      <c r="L33" s="4" t="s">
        <v>541</v>
      </c>
      <c r="M33" s="4" t="s">
        <v>542</v>
      </c>
      <c r="N33" s="4" t="s">
        <v>543</v>
      </c>
    </row>
    <row r="34" spans="1:14" ht="42.75">
      <c r="A34" s="4" t="s">
        <v>125</v>
      </c>
      <c r="B34" s="4" t="s">
        <v>84</v>
      </c>
      <c r="C34" s="4">
        <v>31</v>
      </c>
      <c r="D34" s="4" t="s">
        <v>285</v>
      </c>
      <c r="E34" s="4">
        <v>5</v>
      </c>
      <c r="F34" s="4">
        <v>29</v>
      </c>
      <c r="G34" s="4" t="s">
        <v>127</v>
      </c>
      <c r="H34" s="4" t="s">
        <v>38</v>
      </c>
      <c r="I34" s="4" t="s">
        <v>544</v>
      </c>
      <c r="J34" s="4" t="s">
        <v>545</v>
      </c>
      <c r="K34" s="4" t="s">
        <v>546</v>
      </c>
      <c r="L34" s="4" t="s">
        <v>547</v>
      </c>
      <c r="M34" s="4" t="s">
        <v>548</v>
      </c>
      <c r="N34" s="4" t="s">
        <v>549</v>
      </c>
    </row>
    <row r="35" spans="1:14" ht="28.5">
      <c r="A35" s="4" t="s">
        <v>125</v>
      </c>
      <c r="B35" s="4" t="s">
        <v>84</v>
      </c>
      <c r="C35" s="4">
        <v>32</v>
      </c>
      <c r="D35" s="4" t="s">
        <v>316</v>
      </c>
      <c r="E35" s="4">
        <v>1</v>
      </c>
      <c r="F35" s="4">
        <v>30</v>
      </c>
      <c r="G35" s="4" t="s">
        <v>127</v>
      </c>
      <c r="H35" s="4" t="s">
        <v>38</v>
      </c>
      <c r="I35" s="4" t="s">
        <v>550</v>
      </c>
      <c r="J35" s="4" t="s">
        <v>551</v>
      </c>
      <c r="K35" s="4" t="s">
        <v>552</v>
      </c>
      <c r="L35" s="4" t="s">
        <v>553</v>
      </c>
      <c r="M35" s="4" t="s">
        <v>554</v>
      </c>
      <c r="N35" s="4" t="s">
        <v>555</v>
      </c>
    </row>
    <row r="36" spans="1:14" ht="28.5">
      <c r="A36" s="4" t="s">
        <v>125</v>
      </c>
      <c r="B36" s="4" t="s">
        <v>84</v>
      </c>
      <c r="C36" s="4">
        <v>33</v>
      </c>
      <c r="D36" s="4" t="s">
        <v>316</v>
      </c>
      <c r="E36" s="4">
        <v>2</v>
      </c>
      <c r="F36" s="4">
        <v>31</v>
      </c>
      <c r="G36" s="4" t="s">
        <v>127</v>
      </c>
      <c r="H36" s="4" t="s">
        <v>38</v>
      </c>
      <c r="I36" s="4" t="s">
        <v>556</v>
      </c>
      <c r="J36" s="4" t="s">
        <v>557</v>
      </c>
      <c r="K36" s="4" t="s">
        <v>558</v>
      </c>
      <c r="L36" s="4" t="s">
        <v>559</v>
      </c>
      <c r="M36" s="4" t="s">
        <v>560</v>
      </c>
      <c r="N36" s="4" t="s">
        <v>561</v>
      </c>
    </row>
    <row r="37" spans="1:14" ht="42.75">
      <c r="A37" s="4" t="s">
        <v>125</v>
      </c>
      <c r="B37" s="4" t="s">
        <v>84</v>
      </c>
      <c r="C37" s="4">
        <v>34</v>
      </c>
      <c r="D37" s="4" t="s">
        <v>316</v>
      </c>
      <c r="E37" s="4">
        <v>3</v>
      </c>
      <c r="F37" s="4">
        <v>32</v>
      </c>
      <c r="G37" s="4" t="s">
        <v>127</v>
      </c>
      <c r="H37" s="4" t="s">
        <v>38</v>
      </c>
      <c r="I37" s="4" t="s">
        <v>562</v>
      </c>
      <c r="J37" s="4" t="s">
        <v>563</v>
      </c>
      <c r="K37" s="4" t="s">
        <v>564</v>
      </c>
      <c r="L37" s="4" t="s">
        <v>565</v>
      </c>
      <c r="M37" s="4" t="s">
        <v>566</v>
      </c>
      <c r="N37" s="4" t="s">
        <v>567</v>
      </c>
    </row>
    <row r="38" spans="1:14" ht="42.75">
      <c r="A38" s="4" t="s">
        <v>125</v>
      </c>
      <c r="B38" s="4" t="s">
        <v>84</v>
      </c>
      <c r="C38" s="4">
        <v>35</v>
      </c>
      <c r="D38" s="4" t="s">
        <v>316</v>
      </c>
      <c r="E38" s="4">
        <v>4</v>
      </c>
      <c r="F38" s="4">
        <v>33</v>
      </c>
      <c r="G38" s="4" t="s">
        <v>127</v>
      </c>
      <c r="H38" s="4" t="s">
        <v>38</v>
      </c>
      <c r="I38" s="4" t="s">
        <v>568</v>
      </c>
      <c r="J38" s="4" t="s">
        <v>569</v>
      </c>
      <c r="K38" s="4" t="s">
        <v>570</v>
      </c>
      <c r="L38" s="4" t="s">
        <v>571</v>
      </c>
      <c r="M38" s="4" t="s">
        <v>572</v>
      </c>
      <c r="N38" s="4" t="s">
        <v>573</v>
      </c>
    </row>
    <row r="39" spans="1:14" ht="42.75">
      <c r="A39" s="4" t="s">
        <v>125</v>
      </c>
      <c r="B39" s="4" t="s">
        <v>84</v>
      </c>
      <c r="C39" s="4">
        <v>36</v>
      </c>
      <c r="D39" s="4" t="s">
        <v>343</v>
      </c>
      <c r="E39" s="4">
        <v>1</v>
      </c>
      <c r="F39" s="4">
        <v>34</v>
      </c>
      <c r="G39" s="4" t="s">
        <v>127</v>
      </c>
      <c r="H39" s="4" t="s">
        <v>574</v>
      </c>
      <c r="I39" s="4" t="s">
        <v>575</v>
      </c>
      <c r="J39" s="4" t="s">
        <v>576</v>
      </c>
      <c r="K39" s="4" t="s">
        <v>577</v>
      </c>
      <c r="L39" s="4" t="s">
        <v>578</v>
      </c>
      <c r="M39" s="4" t="s">
        <v>579</v>
      </c>
      <c r="N39" s="4" t="s">
        <v>580</v>
      </c>
    </row>
    <row r="40" spans="1:14" ht="28.5">
      <c r="A40" s="4" t="s">
        <v>125</v>
      </c>
      <c r="B40" s="4" t="s">
        <v>84</v>
      </c>
      <c r="C40" s="4">
        <v>37</v>
      </c>
      <c r="D40" s="4" t="s">
        <v>343</v>
      </c>
      <c r="E40" s="4">
        <v>2</v>
      </c>
      <c r="F40" s="4">
        <v>35</v>
      </c>
      <c r="G40" s="4" t="s">
        <v>127</v>
      </c>
      <c r="H40" s="4" t="s">
        <v>574</v>
      </c>
      <c r="I40" s="4" t="s">
        <v>581</v>
      </c>
      <c r="J40" s="4" t="s">
        <v>582</v>
      </c>
      <c r="K40" s="4" t="s">
        <v>583</v>
      </c>
      <c r="L40" s="4" t="s">
        <v>584</v>
      </c>
      <c r="M40" s="4" t="s">
        <v>585</v>
      </c>
      <c r="N40" s="4" t="s">
        <v>586</v>
      </c>
    </row>
    <row r="41" spans="1:14" ht="42.75">
      <c r="A41" s="4" t="s">
        <v>125</v>
      </c>
      <c r="B41" s="4" t="s">
        <v>84</v>
      </c>
      <c r="C41" s="4">
        <v>38</v>
      </c>
      <c r="D41" s="4" t="s">
        <v>343</v>
      </c>
      <c r="E41" s="4">
        <v>3</v>
      </c>
      <c r="F41" s="4">
        <v>36</v>
      </c>
      <c r="G41" s="4" t="s">
        <v>127</v>
      </c>
      <c r="H41" s="4" t="s">
        <v>574</v>
      </c>
      <c r="I41" s="4" t="s">
        <v>587</v>
      </c>
      <c r="J41" s="4" t="s">
        <v>588</v>
      </c>
      <c r="K41" s="4" t="s">
        <v>589</v>
      </c>
      <c r="L41" s="4" t="s">
        <v>590</v>
      </c>
      <c r="M41" s="4" t="s">
        <v>591</v>
      </c>
      <c r="N41" s="4" t="s">
        <v>592</v>
      </c>
    </row>
    <row r="42" spans="1:14" ht="28.5">
      <c r="A42" s="4" t="s">
        <v>125</v>
      </c>
      <c r="B42" s="4" t="s">
        <v>84</v>
      </c>
      <c r="C42" s="4">
        <v>39</v>
      </c>
      <c r="D42" s="4" t="s">
        <v>343</v>
      </c>
      <c r="E42" s="4">
        <v>4</v>
      </c>
      <c r="F42" s="4">
        <v>37</v>
      </c>
      <c r="G42" s="4" t="s">
        <v>127</v>
      </c>
      <c r="H42" s="4" t="s">
        <v>574</v>
      </c>
      <c r="I42" s="4" t="s">
        <v>593</v>
      </c>
      <c r="J42" s="4" t="s">
        <v>594</v>
      </c>
      <c r="K42" s="4" t="s">
        <v>595</v>
      </c>
      <c r="L42" s="4" t="s">
        <v>596</v>
      </c>
      <c r="M42" s="4" t="s">
        <v>597</v>
      </c>
      <c r="N42" s="4" t="s">
        <v>598</v>
      </c>
    </row>
    <row r="43" spans="1:14" ht="42.75">
      <c r="A43" s="4" t="s">
        <v>125</v>
      </c>
      <c r="B43" s="4" t="s">
        <v>84</v>
      </c>
      <c r="C43" s="4">
        <v>40</v>
      </c>
      <c r="D43" s="4" t="s">
        <v>368</v>
      </c>
      <c r="E43" s="4">
        <v>1</v>
      </c>
      <c r="F43" s="4">
        <v>38</v>
      </c>
      <c r="G43" s="4" t="s">
        <v>127</v>
      </c>
      <c r="H43" s="4" t="s">
        <v>574</v>
      </c>
      <c r="I43" s="4" t="s">
        <v>599</v>
      </c>
      <c r="J43" s="4" t="s">
        <v>600</v>
      </c>
      <c r="K43" s="4" t="s">
        <v>601</v>
      </c>
      <c r="L43" s="4" t="s">
        <v>602</v>
      </c>
      <c r="M43" s="4" t="s">
        <v>603</v>
      </c>
      <c r="N43" s="4" t="s">
        <v>604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3"/>
  <sheetViews>
    <sheetView workbookViewId="0">
      <selection sqref="A1:N1"/>
    </sheetView>
  </sheetViews>
  <sheetFormatPr baseColWidth="10" defaultColWidth="9" defaultRowHeight="14.25"/>
  <cols>
    <col min="1" max="1" width="16" customWidth="1"/>
    <col min="2" max="2" width="18" customWidth="1"/>
    <col min="3" max="3" width="15" customWidth="1"/>
    <col min="4" max="4" width="12" customWidth="1"/>
    <col min="5" max="6" width="13" customWidth="1"/>
    <col min="7" max="7" width="18" customWidth="1"/>
    <col min="8" max="8" width="28" customWidth="1"/>
    <col min="9" max="9" width="48" customWidth="1"/>
    <col min="10" max="11" width="42" customWidth="1"/>
    <col min="12" max="12" width="46" customWidth="1"/>
    <col min="13" max="13" width="42" customWidth="1"/>
    <col min="14" max="14" width="46" customWidth="1"/>
  </cols>
  <sheetData>
    <row r="1" spans="1:14" ht="18">
      <c r="A1" s="6" t="s">
        <v>834</v>
      </c>
      <c r="B1" s="6" t="s">
        <v>834</v>
      </c>
      <c r="C1" s="6" t="s">
        <v>834</v>
      </c>
      <c r="D1" s="6" t="s">
        <v>834</v>
      </c>
      <c r="E1" s="6" t="s">
        <v>834</v>
      </c>
      <c r="F1" s="6" t="s">
        <v>834</v>
      </c>
      <c r="G1" s="6" t="s">
        <v>834</v>
      </c>
      <c r="H1" s="6" t="s">
        <v>834</v>
      </c>
      <c r="I1" s="6" t="s">
        <v>834</v>
      </c>
      <c r="J1" s="6" t="s">
        <v>834</v>
      </c>
      <c r="K1" s="6" t="s">
        <v>834</v>
      </c>
      <c r="L1" s="6" t="s">
        <v>834</v>
      </c>
      <c r="M1" s="6" t="s">
        <v>834</v>
      </c>
      <c r="N1" s="6" t="s">
        <v>834</v>
      </c>
    </row>
    <row r="3" spans="1:14" ht="30">
      <c r="A3" s="3" t="s">
        <v>8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 t="s">
        <v>122</v>
      </c>
      <c r="M3" s="3" t="s">
        <v>123</v>
      </c>
      <c r="N3" s="3" t="s">
        <v>124</v>
      </c>
    </row>
    <row r="4" spans="1:14" ht="42.75">
      <c r="A4" s="4" t="s">
        <v>125</v>
      </c>
      <c r="B4" s="4" t="s">
        <v>85</v>
      </c>
      <c r="C4" s="4">
        <v>1</v>
      </c>
      <c r="D4" s="4" t="s">
        <v>126</v>
      </c>
      <c r="E4" s="4">
        <v>1</v>
      </c>
      <c r="F4" s="4">
        <v>1</v>
      </c>
      <c r="G4" s="4" t="s">
        <v>127</v>
      </c>
      <c r="H4" s="4" t="s">
        <v>375</v>
      </c>
      <c r="I4" s="4" t="s">
        <v>605</v>
      </c>
      <c r="J4" s="4" t="s">
        <v>606</v>
      </c>
      <c r="K4" s="4" t="s">
        <v>607</v>
      </c>
      <c r="L4" s="4" t="s">
        <v>608</v>
      </c>
      <c r="M4" s="4" t="s">
        <v>609</v>
      </c>
      <c r="N4" s="4" t="s">
        <v>610</v>
      </c>
    </row>
    <row r="5" spans="1:14" ht="42.75">
      <c r="A5" s="4" t="s">
        <v>125</v>
      </c>
      <c r="B5" s="4" t="s">
        <v>85</v>
      </c>
      <c r="C5" s="4">
        <v>2</v>
      </c>
      <c r="D5" s="4" t="s">
        <v>126</v>
      </c>
      <c r="E5" s="4">
        <v>2</v>
      </c>
      <c r="F5" s="4">
        <v>2</v>
      </c>
      <c r="G5" s="4" t="s">
        <v>127</v>
      </c>
      <c r="H5" s="4" t="s">
        <v>375</v>
      </c>
      <c r="I5" s="4" t="s">
        <v>611</v>
      </c>
      <c r="J5" s="4" t="s">
        <v>612</v>
      </c>
      <c r="K5" s="4" t="s">
        <v>613</v>
      </c>
      <c r="L5" s="4" t="s">
        <v>614</v>
      </c>
      <c r="M5" s="4" t="s">
        <v>615</v>
      </c>
      <c r="N5" s="4" t="s">
        <v>616</v>
      </c>
    </row>
    <row r="6" spans="1:14" ht="42.75">
      <c r="A6" s="4" t="s">
        <v>125</v>
      </c>
      <c r="B6" s="4" t="s">
        <v>85</v>
      </c>
      <c r="C6" s="4">
        <v>3</v>
      </c>
      <c r="D6" s="4" t="s">
        <v>126</v>
      </c>
      <c r="E6" s="4">
        <v>3</v>
      </c>
      <c r="F6" s="4">
        <v>3</v>
      </c>
      <c r="G6" s="4" t="s">
        <v>127</v>
      </c>
      <c r="H6" s="4" t="s">
        <v>375</v>
      </c>
      <c r="I6" s="4" t="s">
        <v>617</v>
      </c>
      <c r="J6" s="4" t="s">
        <v>618</v>
      </c>
      <c r="K6" s="4" t="s">
        <v>619</v>
      </c>
      <c r="L6" s="4" t="s">
        <v>620</v>
      </c>
      <c r="M6" s="4" t="s">
        <v>621</v>
      </c>
      <c r="N6" s="4" t="s">
        <v>622</v>
      </c>
    </row>
    <row r="7" spans="1:14" ht="42.75">
      <c r="A7" s="4" t="s">
        <v>125</v>
      </c>
      <c r="B7" s="4" t="s">
        <v>85</v>
      </c>
      <c r="C7" s="4">
        <v>4</v>
      </c>
      <c r="D7" s="4" t="s">
        <v>126</v>
      </c>
      <c r="E7" s="4">
        <v>4</v>
      </c>
      <c r="F7" s="4">
        <v>4</v>
      </c>
      <c r="G7" s="4" t="s">
        <v>127</v>
      </c>
      <c r="H7" s="4" t="s">
        <v>375</v>
      </c>
      <c r="I7" s="4" t="s">
        <v>623</v>
      </c>
      <c r="J7" s="4" t="s">
        <v>377</v>
      </c>
      <c r="K7" s="4" t="s">
        <v>624</v>
      </c>
      <c r="L7" s="4" t="s">
        <v>379</v>
      </c>
      <c r="M7" s="4" t="s">
        <v>625</v>
      </c>
      <c r="N7" s="4" t="s">
        <v>381</v>
      </c>
    </row>
    <row r="8" spans="1:14" ht="42.75">
      <c r="A8" s="4" t="s">
        <v>125</v>
      </c>
      <c r="B8" s="4" t="s">
        <v>85</v>
      </c>
      <c r="C8" s="4">
        <v>5</v>
      </c>
      <c r="D8" s="4" t="s">
        <v>152</v>
      </c>
      <c r="E8" s="4">
        <v>1</v>
      </c>
      <c r="F8" s="4">
        <v>5</v>
      </c>
      <c r="G8" s="4" t="s">
        <v>127</v>
      </c>
      <c r="H8" s="4" t="s">
        <v>375</v>
      </c>
      <c r="I8" s="4" t="s">
        <v>626</v>
      </c>
      <c r="J8" s="4" t="s">
        <v>627</v>
      </c>
      <c r="K8" s="4" t="s">
        <v>628</v>
      </c>
      <c r="L8" s="4" t="s">
        <v>629</v>
      </c>
      <c r="M8" s="4" t="s">
        <v>630</v>
      </c>
      <c r="N8" s="4" t="s">
        <v>631</v>
      </c>
    </row>
    <row r="9" spans="1:14" ht="42.75">
      <c r="A9" s="4" t="s">
        <v>125</v>
      </c>
      <c r="B9" s="4" t="s">
        <v>85</v>
      </c>
      <c r="C9" s="4">
        <v>6</v>
      </c>
      <c r="D9" s="4" t="s">
        <v>152</v>
      </c>
      <c r="E9" s="4">
        <v>2</v>
      </c>
      <c r="F9" s="4">
        <v>6</v>
      </c>
      <c r="G9" s="4" t="s">
        <v>127</v>
      </c>
      <c r="H9" s="4" t="s">
        <v>375</v>
      </c>
      <c r="I9" s="4" t="s">
        <v>632</v>
      </c>
      <c r="J9" s="4" t="s">
        <v>633</v>
      </c>
      <c r="K9" s="4" t="s">
        <v>634</v>
      </c>
      <c r="L9" s="4" t="s">
        <v>635</v>
      </c>
      <c r="M9" s="4" t="s">
        <v>636</v>
      </c>
      <c r="N9" s="4" t="s">
        <v>637</v>
      </c>
    </row>
    <row r="10" spans="1:14" ht="42.75">
      <c r="A10" s="4" t="s">
        <v>125</v>
      </c>
      <c r="B10" s="4" t="s">
        <v>85</v>
      </c>
      <c r="C10" s="4">
        <v>7</v>
      </c>
      <c r="D10" s="4" t="s">
        <v>152</v>
      </c>
      <c r="E10" s="4">
        <v>3</v>
      </c>
      <c r="F10" s="4">
        <v>7</v>
      </c>
      <c r="G10" s="4" t="s">
        <v>127</v>
      </c>
      <c r="H10" s="4" t="s">
        <v>375</v>
      </c>
      <c r="I10" s="4" t="s">
        <v>638</v>
      </c>
      <c r="J10" s="4" t="s">
        <v>639</v>
      </c>
      <c r="K10" s="4" t="s">
        <v>640</v>
      </c>
      <c r="L10" s="4" t="s">
        <v>641</v>
      </c>
      <c r="M10" s="4" t="s">
        <v>642</v>
      </c>
      <c r="N10" s="4" t="s">
        <v>643</v>
      </c>
    </row>
    <row r="11" spans="1:14" ht="42.75">
      <c r="A11" s="4" t="s">
        <v>125</v>
      </c>
      <c r="B11" s="4" t="s">
        <v>85</v>
      </c>
      <c r="C11" s="4">
        <v>8</v>
      </c>
      <c r="D11" s="4" t="s">
        <v>152</v>
      </c>
      <c r="E11" s="4">
        <v>4</v>
      </c>
      <c r="F11" s="4">
        <v>8</v>
      </c>
      <c r="G11" s="4" t="s">
        <v>127</v>
      </c>
      <c r="H11" s="4" t="s">
        <v>375</v>
      </c>
      <c r="I11" s="4" t="s">
        <v>644</v>
      </c>
      <c r="J11" s="4" t="s">
        <v>645</v>
      </c>
      <c r="K11" s="4" t="s">
        <v>646</v>
      </c>
      <c r="L11" s="4" t="s">
        <v>647</v>
      </c>
      <c r="M11" s="4" t="s">
        <v>648</v>
      </c>
      <c r="N11" s="4" t="s">
        <v>649</v>
      </c>
    </row>
    <row r="12" spans="1:14" ht="42.75">
      <c r="A12" s="4" t="s">
        <v>125</v>
      </c>
      <c r="B12" s="4" t="s">
        <v>85</v>
      </c>
      <c r="C12" s="4">
        <v>9</v>
      </c>
      <c r="D12" s="4" t="s">
        <v>177</v>
      </c>
      <c r="E12" s="4">
        <v>1</v>
      </c>
      <c r="F12" s="4">
        <v>9</v>
      </c>
      <c r="G12" s="4" t="s">
        <v>127</v>
      </c>
      <c r="H12" s="4" t="s">
        <v>375</v>
      </c>
      <c r="I12" s="4" t="s">
        <v>650</v>
      </c>
      <c r="J12" s="4" t="s">
        <v>651</v>
      </c>
      <c r="K12" s="4" t="s">
        <v>652</v>
      </c>
      <c r="L12" s="4" t="s">
        <v>653</v>
      </c>
      <c r="M12" s="4" t="s">
        <v>654</v>
      </c>
      <c r="N12" s="4" t="s">
        <v>655</v>
      </c>
    </row>
    <row r="13" spans="1:14" ht="42.75">
      <c r="A13" s="4" t="s">
        <v>125</v>
      </c>
      <c r="B13" s="4" t="s">
        <v>85</v>
      </c>
      <c r="C13" s="4">
        <v>10</v>
      </c>
      <c r="D13" s="4" t="s">
        <v>177</v>
      </c>
      <c r="E13" s="4">
        <v>2</v>
      </c>
      <c r="F13" s="4">
        <v>10</v>
      </c>
      <c r="G13" s="4" t="s">
        <v>127</v>
      </c>
      <c r="H13" s="4" t="s">
        <v>375</v>
      </c>
      <c r="I13" s="4" t="s">
        <v>656</v>
      </c>
      <c r="J13" s="4" t="s">
        <v>657</v>
      </c>
      <c r="K13" s="4" t="s">
        <v>658</v>
      </c>
      <c r="L13" s="4" t="s">
        <v>659</v>
      </c>
      <c r="M13" s="4" t="s">
        <v>660</v>
      </c>
      <c r="N13" s="4" t="s">
        <v>661</v>
      </c>
    </row>
    <row r="14" spans="1:14" ht="42.75">
      <c r="A14" s="4" t="s">
        <v>125</v>
      </c>
      <c r="B14" s="4" t="s">
        <v>85</v>
      </c>
      <c r="C14" s="4">
        <v>11</v>
      </c>
      <c r="D14" s="4" t="s">
        <v>177</v>
      </c>
      <c r="E14" s="4">
        <v>3</v>
      </c>
      <c r="F14" s="4">
        <v>11</v>
      </c>
      <c r="G14" s="4" t="s">
        <v>127</v>
      </c>
      <c r="H14" s="4" t="s">
        <v>375</v>
      </c>
      <c r="I14" s="4" t="s">
        <v>662</v>
      </c>
      <c r="J14" s="4" t="s">
        <v>663</v>
      </c>
      <c r="K14" s="4" t="s">
        <v>664</v>
      </c>
      <c r="L14" s="4" t="s">
        <v>665</v>
      </c>
      <c r="M14" s="4" t="s">
        <v>666</v>
      </c>
      <c r="N14" s="4" t="s">
        <v>667</v>
      </c>
    </row>
    <row r="15" spans="1:14" ht="42.75">
      <c r="A15" s="4" t="s">
        <v>125</v>
      </c>
      <c r="B15" s="4" t="s">
        <v>85</v>
      </c>
      <c r="C15" s="4">
        <v>12</v>
      </c>
      <c r="D15" s="4" t="s">
        <v>177</v>
      </c>
      <c r="E15" s="4">
        <v>4</v>
      </c>
      <c r="F15" s="4">
        <v>12</v>
      </c>
      <c r="G15" s="4" t="s">
        <v>127</v>
      </c>
      <c r="H15" s="4" t="s">
        <v>375</v>
      </c>
      <c r="I15" s="4" t="s">
        <v>668</v>
      </c>
      <c r="J15" s="4" t="s">
        <v>669</v>
      </c>
      <c r="K15" s="4" t="s">
        <v>670</v>
      </c>
      <c r="L15" s="4" t="s">
        <v>671</v>
      </c>
      <c r="M15" s="4" t="s">
        <v>672</v>
      </c>
      <c r="N15" s="4" t="s">
        <v>673</v>
      </c>
    </row>
    <row r="16" spans="1:14" ht="42.75">
      <c r="A16" s="4" t="s">
        <v>125</v>
      </c>
      <c r="B16" s="4" t="s">
        <v>85</v>
      </c>
      <c r="C16" s="4">
        <v>13</v>
      </c>
      <c r="D16" s="4" t="s">
        <v>177</v>
      </c>
      <c r="E16" s="4">
        <v>5</v>
      </c>
      <c r="F16" s="4">
        <v>13</v>
      </c>
      <c r="G16" s="4" t="s">
        <v>127</v>
      </c>
      <c r="H16" s="4" t="s">
        <v>375</v>
      </c>
      <c r="I16" s="4" t="s">
        <v>674</v>
      </c>
      <c r="J16" s="4" t="s">
        <v>675</v>
      </c>
      <c r="K16" s="4" t="s">
        <v>676</v>
      </c>
      <c r="L16" s="4" t="s">
        <v>677</v>
      </c>
      <c r="M16" s="4" t="s">
        <v>678</v>
      </c>
      <c r="N16" s="4" t="s">
        <v>679</v>
      </c>
    </row>
    <row r="17" spans="1:14" ht="42.75">
      <c r="A17" s="4" t="s">
        <v>125</v>
      </c>
      <c r="B17" s="4" t="s">
        <v>85</v>
      </c>
      <c r="C17" s="4">
        <v>14</v>
      </c>
      <c r="D17" s="4" t="s">
        <v>209</v>
      </c>
      <c r="E17" s="4">
        <v>1</v>
      </c>
      <c r="F17" s="4">
        <v>14</v>
      </c>
      <c r="G17" s="4" t="s">
        <v>127</v>
      </c>
      <c r="H17" s="4" t="s">
        <v>375</v>
      </c>
      <c r="I17" s="4" t="s">
        <v>680</v>
      </c>
      <c r="J17" s="4" t="s">
        <v>681</v>
      </c>
      <c r="K17" s="4" t="s">
        <v>682</v>
      </c>
      <c r="L17" s="4" t="s">
        <v>683</v>
      </c>
      <c r="M17" s="4" t="s">
        <v>684</v>
      </c>
      <c r="N17" s="4" t="s">
        <v>685</v>
      </c>
    </row>
    <row r="18" spans="1:14" ht="28.5">
      <c r="A18" s="4" t="s">
        <v>125</v>
      </c>
      <c r="B18" s="4" t="s">
        <v>85</v>
      </c>
      <c r="C18" s="4">
        <v>15</v>
      </c>
      <c r="D18" s="4" t="s">
        <v>209</v>
      </c>
      <c r="E18" s="4">
        <v>2</v>
      </c>
      <c r="F18" s="4">
        <v>15</v>
      </c>
      <c r="G18" s="4" t="s">
        <v>127</v>
      </c>
      <c r="H18" s="4" t="s">
        <v>375</v>
      </c>
      <c r="I18" s="4" t="s">
        <v>686</v>
      </c>
      <c r="J18" s="4" t="s">
        <v>687</v>
      </c>
      <c r="K18" s="4" t="s">
        <v>688</v>
      </c>
      <c r="L18" s="4" t="s">
        <v>689</v>
      </c>
      <c r="M18" s="4" t="s">
        <v>690</v>
      </c>
      <c r="N18" s="4" t="s">
        <v>691</v>
      </c>
    </row>
    <row r="19" spans="1:14" ht="42.75">
      <c r="A19" s="4" t="s">
        <v>125</v>
      </c>
      <c r="B19" s="4" t="s">
        <v>85</v>
      </c>
      <c r="C19" s="4">
        <v>16</v>
      </c>
      <c r="D19" s="4" t="s">
        <v>209</v>
      </c>
      <c r="E19" s="4">
        <v>3</v>
      </c>
      <c r="F19" s="4">
        <v>16</v>
      </c>
      <c r="G19" s="4" t="s">
        <v>127</v>
      </c>
      <c r="H19" s="4" t="s">
        <v>375</v>
      </c>
      <c r="I19" s="4" t="s">
        <v>692</v>
      </c>
      <c r="J19" s="4" t="s">
        <v>693</v>
      </c>
      <c r="K19" s="4" t="s">
        <v>694</v>
      </c>
      <c r="L19" s="4" t="s">
        <v>695</v>
      </c>
      <c r="M19" s="4" t="s">
        <v>696</v>
      </c>
      <c r="N19" s="4" t="s">
        <v>697</v>
      </c>
    </row>
    <row r="20" spans="1:14" ht="28.5">
      <c r="A20" s="4" t="s">
        <v>125</v>
      </c>
      <c r="B20" s="4" t="s">
        <v>85</v>
      </c>
      <c r="C20" s="4">
        <v>17</v>
      </c>
      <c r="D20" s="4" t="s">
        <v>209</v>
      </c>
      <c r="E20" s="4">
        <v>4</v>
      </c>
      <c r="F20" s="4">
        <v>17</v>
      </c>
      <c r="G20" s="4" t="s">
        <v>127</v>
      </c>
      <c r="H20" s="4" t="s">
        <v>375</v>
      </c>
      <c r="I20" s="4" t="s">
        <v>698</v>
      </c>
      <c r="J20" s="4" t="s">
        <v>699</v>
      </c>
      <c r="K20" s="4" t="s">
        <v>700</v>
      </c>
      <c r="L20" s="4" t="s">
        <v>701</v>
      </c>
      <c r="M20" s="4" t="s">
        <v>702</v>
      </c>
      <c r="N20" s="4" t="s">
        <v>703</v>
      </c>
    </row>
    <row r="21" spans="1:14" ht="42.75">
      <c r="A21" s="4" t="s">
        <v>125</v>
      </c>
      <c r="B21" s="4" t="s">
        <v>85</v>
      </c>
      <c r="C21" s="4">
        <v>18</v>
      </c>
      <c r="D21" s="4" t="s">
        <v>235</v>
      </c>
      <c r="E21" s="4">
        <v>1</v>
      </c>
      <c r="F21" s="4">
        <v>18</v>
      </c>
      <c r="G21" s="4" t="s">
        <v>127</v>
      </c>
      <c r="H21" s="4" t="s">
        <v>704</v>
      </c>
      <c r="I21" s="4" t="s">
        <v>705</v>
      </c>
      <c r="J21" s="4" t="s">
        <v>706</v>
      </c>
      <c r="K21" s="4" t="s">
        <v>707</v>
      </c>
      <c r="L21" s="4" t="s">
        <v>708</v>
      </c>
      <c r="M21" s="4" t="s">
        <v>709</v>
      </c>
      <c r="N21" s="4" t="s">
        <v>710</v>
      </c>
    </row>
    <row r="22" spans="1:14" ht="42.75">
      <c r="A22" s="5" t="s">
        <v>125</v>
      </c>
      <c r="B22" s="5" t="s">
        <v>85</v>
      </c>
      <c r="C22" s="5">
        <v>19</v>
      </c>
      <c r="D22" s="5" t="s">
        <v>235</v>
      </c>
      <c r="E22" s="5">
        <v>2</v>
      </c>
      <c r="F22" s="5"/>
      <c r="G22" s="5" t="s">
        <v>242</v>
      </c>
      <c r="H22" s="5" t="s">
        <v>17</v>
      </c>
      <c r="I22" s="5" t="s">
        <v>243</v>
      </c>
      <c r="J22" s="5" t="s">
        <v>244</v>
      </c>
      <c r="K22" s="5" t="s">
        <v>245</v>
      </c>
      <c r="L22" s="5" t="s">
        <v>246</v>
      </c>
      <c r="M22" s="5" t="s">
        <v>247</v>
      </c>
      <c r="N22" s="5" t="s">
        <v>248</v>
      </c>
    </row>
    <row r="23" spans="1:14" ht="42.75">
      <c r="A23" s="5" t="s">
        <v>125</v>
      </c>
      <c r="B23" s="5" t="s">
        <v>85</v>
      </c>
      <c r="C23" s="5">
        <v>20</v>
      </c>
      <c r="D23" s="5" t="s">
        <v>235</v>
      </c>
      <c r="E23" s="5">
        <v>3</v>
      </c>
      <c r="F23" s="5"/>
      <c r="G23" s="5" t="s">
        <v>242</v>
      </c>
      <c r="H23" s="5" t="s">
        <v>17</v>
      </c>
      <c r="I23" s="5" t="s">
        <v>243</v>
      </c>
      <c r="J23" s="5" t="s">
        <v>244</v>
      </c>
      <c r="K23" s="5" t="s">
        <v>245</v>
      </c>
      <c r="L23" s="5" t="s">
        <v>246</v>
      </c>
      <c r="M23" s="5" t="s">
        <v>247</v>
      </c>
      <c r="N23" s="5" t="s">
        <v>248</v>
      </c>
    </row>
    <row r="24" spans="1:14" ht="42.75">
      <c r="A24" s="4" t="s">
        <v>125</v>
      </c>
      <c r="B24" s="4" t="s">
        <v>85</v>
      </c>
      <c r="C24" s="4">
        <v>21</v>
      </c>
      <c r="D24" s="4" t="s">
        <v>235</v>
      </c>
      <c r="E24" s="4">
        <v>4</v>
      </c>
      <c r="F24" s="4">
        <v>19</v>
      </c>
      <c r="G24" s="4" t="s">
        <v>127</v>
      </c>
      <c r="H24" s="4" t="s">
        <v>375</v>
      </c>
      <c r="I24" s="4" t="s">
        <v>711</v>
      </c>
      <c r="J24" s="4" t="s">
        <v>712</v>
      </c>
      <c r="K24" s="4" t="s">
        <v>713</v>
      </c>
      <c r="L24" s="4" t="s">
        <v>714</v>
      </c>
      <c r="M24" s="4" t="s">
        <v>715</v>
      </c>
      <c r="N24" s="4" t="s">
        <v>716</v>
      </c>
    </row>
    <row r="25" spans="1:14" ht="42.75">
      <c r="A25" s="4" t="s">
        <v>125</v>
      </c>
      <c r="B25" s="4" t="s">
        <v>85</v>
      </c>
      <c r="C25" s="4">
        <v>22</v>
      </c>
      <c r="D25" s="4" t="s">
        <v>235</v>
      </c>
      <c r="E25" s="4">
        <v>5</v>
      </c>
      <c r="F25" s="4">
        <v>20</v>
      </c>
      <c r="G25" s="4" t="s">
        <v>127</v>
      </c>
      <c r="H25" s="4" t="s">
        <v>92</v>
      </c>
      <c r="I25" s="4" t="s">
        <v>717</v>
      </c>
      <c r="J25" s="4" t="s">
        <v>718</v>
      </c>
      <c r="K25" s="4" t="s">
        <v>719</v>
      </c>
      <c r="L25" s="4" t="s">
        <v>720</v>
      </c>
      <c r="M25" s="4" t="s">
        <v>721</v>
      </c>
      <c r="N25" s="4" t="s">
        <v>722</v>
      </c>
    </row>
    <row r="26" spans="1:14" ht="42.75">
      <c r="A26" s="4" t="s">
        <v>125</v>
      </c>
      <c r="B26" s="4" t="s">
        <v>85</v>
      </c>
      <c r="C26" s="4">
        <v>23</v>
      </c>
      <c r="D26" s="4" t="s">
        <v>260</v>
      </c>
      <c r="E26" s="4">
        <v>1</v>
      </c>
      <c r="F26" s="4">
        <v>21</v>
      </c>
      <c r="G26" s="4" t="s">
        <v>127</v>
      </c>
      <c r="H26" s="4" t="s">
        <v>92</v>
      </c>
      <c r="I26" s="4" t="s">
        <v>723</v>
      </c>
      <c r="J26" s="4" t="s">
        <v>724</v>
      </c>
      <c r="K26" s="4" t="s">
        <v>725</v>
      </c>
      <c r="L26" s="4" t="s">
        <v>726</v>
      </c>
      <c r="M26" s="4" t="s">
        <v>727</v>
      </c>
      <c r="N26" s="4" t="s">
        <v>728</v>
      </c>
    </row>
    <row r="27" spans="1:14" ht="42.75">
      <c r="A27" s="4" t="s">
        <v>125</v>
      </c>
      <c r="B27" s="4" t="s">
        <v>85</v>
      </c>
      <c r="C27" s="4">
        <v>24</v>
      </c>
      <c r="D27" s="4" t="s">
        <v>260</v>
      </c>
      <c r="E27" s="4">
        <v>2</v>
      </c>
      <c r="F27" s="4">
        <v>22</v>
      </c>
      <c r="G27" s="4" t="s">
        <v>127</v>
      </c>
      <c r="H27" s="4" t="s">
        <v>92</v>
      </c>
      <c r="I27" s="4" t="s">
        <v>729</v>
      </c>
      <c r="J27" s="4" t="s">
        <v>730</v>
      </c>
      <c r="K27" s="4" t="s">
        <v>731</v>
      </c>
      <c r="L27" s="4" t="s">
        <v>732</v>
      </c>
      <c r="M27" s="4" t="s">
        <v>733</v>
      </c>
      <c r="N27" s="4" t="s">
        <v>734</v>
      </c>
    </row>
    <row r="28" spans="1:14" ht="28.5">
      <c r="A28" s="4" t="s">
        <v>125</v>
      </c>
      <c r="B28" s="4" t="s">
        <v>85</v>
      </c>
      <c r="C28" s="4">
        <v>25</v>
      </c>
      <c r="D28" s="4" t="s">
        <v>260</v>
      </c>
      <c r="E28" s="4">
        <v>3</v>
      </c>
      <c r="F28" s="4">
        <v>23</v>
      </c>
      <c r="G28" s="4" t="s">
        <v>127</v>
      </c>
      <c r="H28" s="4" t="s">
        <v>92</v>
      </c>
      <c r="I28" s="4" t="s">
        <v>735</v>
      </c>
      <c r="J28" s="4" t="s">
        <v>736</v>
      </c>
      <c r="K28" s="4" t="s">
        <v>737</v>
      </c>
      <c r="L28" s="4" t="s">
        <v>738</v>
      </c>
      <c r="M28" s="4" t="s">
        <v>739</v>
      </c>
      <c r="N28" s="4" t="s">
        <v>740</v>
      </c>
    </row>
    <row r="29" spans="1:14" ht="42.75">
      <c r="A29" s="4" t="s">
        <v>125</v>
      </c>
      <c r="B29" s="4" t="s">
        <v>85</v>
      </c>
      <c r="C29" s="4">
        <v>26</v>
      </c>
      <c r="D29" s="4" t="s">
        <v>260</v>
      </c>
      <c r="E29" s="4">
        <v>4</v>
      </c>
      <c r="F29" s="4">
        <v>24</v>
      </c>
      <c r="G29" s="4" t="s">
        <v>127</v>
      </c>
      <c r="H29" s="4" t="s">
        <v>92</v>
      </c>
      <c r="I29" s="4" t="s">
        <v>741</v>
      </c>
      <c r="J29" s="4" t="s">
        <v>742</v>
      </c>
      <c r="K29" s="4" t="s">
        <v>743</v>
      </c>
      <c r="L29" s="4" t="s">
        <v>744</v>
      </c>
      <c r="M29" s="4" t="s">
        <v>745</v>
      </c>
      <c r="N29" s="4" t="s">
        <v>746</v>
      </c>
    </row>
    <row r="30" spans="1:14" ht="42.75">
      <c r="A30" s="4" t="s">
        <v>125</v>
      </c>
      <c r="B30" s="4" t="s">
        <v>85</v>
      </c>
      <c r="C30" s="4">
        <v>27</v>
      </c>
      <c r="D30" s="4" t="s">
        <v>285</v>
      </c>
      <c r="E30" s="4">
        <v>1</v>
      </c>
      <c r="F30" s="4">
        <v>25</v>
      </c>
      <c r="G30" s="4" t="s">
        <v>127</v>
      </c>
      <c r="H30" s="4" t="s">
        <v>92</v>
      </c>
      <c r="I30" s="4" t="s">
        <v>747</v>
      </c>
      <c r="J30" s="4" t="s">
        <v>748</v>
      </c>
      <c r="K30" s="4" t="s">
        <v>749</v>
      </c>
      <c r="L30" s="4" t="s">
        <v>750</v>
      </c>
      <c r="M30" s="4" t="s">
        <v>751</v>
      </c>
      <c r="N30" s="4" t="s">
        <v>752</v>
      </c>
    </row>
    <row r="31" spans="1:14" ht="28.5">
      <c r="A31" s="4" t="s">
        <v>125</v>
      </c>
      <c r="B31" s="4" t="s">
        <v>85</v>
      </c>
      <c r="C31" s="4">
        <v>28</v>
      </c>
      <c r="D31" s="4" t="s">
        <v>285</v>
      </c>
      <c r="E31" s="4">
        <v>2</v>
      </c>
      <c r="F31" s="4">
        <v>26</v>
      </c>
      <c r="G31" s="4" t="s">
        <v>127</v>
      </c>
      <c r="H31" s="4" t="s">
        <v>92</v>
      </c>
      <c r="I31" s="4" t="s">
        <v>753</v>
      </c>
      <c r="J31" s="4" t="s">
        <v>754</v>
      </c>
      <c r="K31" s="4" t="s">
        <v>755</v>
      </c>
      <c r="L31" s="4" t="s">
        <v>756</v>
      </c>
      <c r="M31" s="4" t="s">
        <v>757</v>
      </c>
      <c r="N31" s="4" t="s">
        <v>758</v>
      </c>
    </row>
    <row r="32" spans="1:14" ht="42.75">
      <c r="A32" s="4" t="s">
        <v>125</v>
      </c>
      <c r="B32" s="4" t="s">
        <v>85</v>
      </c>
      <c r="C32" s="4">
        <v>29</v>
      </c>
      <c r="D32" s="4" t="s">
        <v>285</v>
      </c>
      <c r="E32" s="4">
        <v>3</v>
      </c>
      <c r="F32" s="4">
        <v>27</v>
      </c>
      <c r="G32" s="4" t="s">
        <v>127</v>
      </c>
      <c r="H32" s="4" t="s">
        <v>92</v>
      </c>
      <c r="I32" s="4" t="s">
        <v>759</v>
      </c>
      <c r="J32" s="4" t="s">
        <v>760</v>
      </c>
      <c r="K32" s="4" t="s">
        <v>761</v>
      </c>
      <c r="L32" s="4" t="s">
        <v>762</v>
      </c>
      <c r="M32" s="4" t="s">
        <v>763</v>
      </c>
      <c r="N32" s="4" t="s">
        <v>764</v>
      </c>
    </row>
    <row r="33" spans="1:14" ht="28.5">
      <c r="A33" s="4" t="s">
        <v>125</v>
      </c>
      <c r="B33" s="4" t="s">
        <v>85</v>
      </c>
      <c r="C33" s="4">
        <v>30</v>
      </c>
      <c r="D33" s="4" t="s">
        <v>285</v>
      </c>
      <c r="E33" s="4">
        <v>4</v>
      </c>
      <c r="F33" s="4">
        <v>28</v>
      </c>
      <c r="G33" s="4" t="s">
        <v>127</v>
      </c>
      <c r="H33" s="4" t="s">
        <v>97</v>
      </c>
      <c r="I33" s="4" t="s">
        <v>765</v>
      </c>
      <c r="J33" s="4" t="s">
        <v>766</v>
      </c>
      <c r="K33" s="4" t="s">
        <v>767</v>
      </c>
      <c r="L33" s="4" t="s">
        <v>768</v>
      </c>
      <c r="M33" s="4" t="s">
        <v>769</v>
      </c>
      <c r="N33" s="4" t="s">
        <v>770</v>
      </c>
    </row>
    <row r="34" spans="1:14" ht="42.75">
      <c r="A34" s="4" t="s">
        <v>125</v>
      </c>
      <c r="B34" s="4" t="s">
        <v>85</v>
      </c>
      <c r="C34" s="4">
        <v>31</v>
      </c>
      <c r="D34" s="4" t="s">
        <v>285</v>
      </c>
      <c r="E34" s="4">
        <v>5</v>
      </c>
      <c r="F34" s="4">
        <v>29</v>
      </c>
      <c r="G34" s="4" t="s">
        <v>127</v>
      </c>
      <c r="H34" s="4" t="s">
        <v>97</v>
      </c>
      <c r="I34" s="4" t="s">
        <v>771</v>
      </c>
      <c r="J34" s="4" t="s">
        <v>772</v>
      </c>
      <c r="K34" s="4" t="s">
        <v>773</v>
      </c>
      <c r="L34" s="4" t="s">
        <v>774</v>
      </c>
      <c r="M34" s="4" t="s">
        <v>775</v>
      </c>
      <c r="N34" s="4" t="s">
        <v>776</v>
      </c>
    </row>
    <row r="35" spans="1:14" ht="28.5">
      <c r="A35" s="4" t="s">
        <v>125</v>
      </c>
      <c r="B35" s="4" t="s">
        <v>85</v>
      </c>
      <c r="C35" s="4">
        <v>32</v>
      </c>
      <c r="D35" s="4" t="s">
        <v>316</v>
      </c>
      <c r="E35" s="4">
        <v>1</v>
      </c>
      <c r="F35" s="4">
        <v>30</v>
      </c>
      <c r="G35" s="4" t="s">
        <v>127</v>
      </c>
      <c r="H35" s="4" t="s">
        <v>97</v>
      </c>
      <c r="I35" s="4" t="s">
        <v>777</v>
      </c>
      <c r="J35" s="4" t="s">
        <v>778</v>
      </c>
      <c r="K35" s="4" t="s">
        <v>779</v>
      </c>
      <c r="L35" s="4" t="s">
        <v>780</v>
      </c>
      <c r="M35" s="4" t="s">
        <v>781</v>
      </c>
      <c r="N35" s="4" t="s">
        <v>782</v>
      </c>
    </row>
    <row r="36" spans="1:14" ht="42.75">
      <c r="A36" s="4" t="s">
        <v>125</v>
      </c>
      <c r="B36" s="4" t="s">
        <v>85</v>
      </c>
      <c r="C36" s="4">
        <v>33</v>
      </c>
      <c r="D36" s="4" t="s">
        <v>316</v>
      </c>
      <c r="E36" s="4">
        <v>2</v>
      </c>
      <c r="F36" s="4">
        <v>31</v>
      </c>
      <c r="G36" s="4" t="s">
        <v>127</v>
      </c>
      <c r="H36" s="4" t="s">
        <v>97</v>
      </c>
      <c r="I36" s="4" t="s">
        <v>783</v>
      </c>
      <c r="J36" s="4" t="s">
        <v>784</v>
      </c>
      <c r="K36" s="4" t="s">
        <v>785</v>
      </c>
      <c r="L36" s="4" t="s">
        <v>786</v>
      </c>
      <c r="M36" s="4" t="s">
        <v>787</v>
      </c>
      <c r="N36" s="4" t="s">
        <v>788</v>
      </c>
    </row>
    <row r="37" spans="1:14" ht="42.75">
      <c r="A37" s="4" t="s">
        <v>125</v>
      </c>
      <c r="B37" s="4" t="s">
        <v>85</v>
      </c>
      <c r="C37" s="4">
        <v>34</v>
      </c>
      <c r="D37" s="4" t="s">
        <v>316</v>
      </c>
      <c r="E37" s="4">
        <v>3</v>
      </c>
      <c r="F37" s="4">
        <v>32</v>
      </c>
      <c r="G37" s="4" t="s">
        <v>127</v>
      </c>
      <c r="H37" s="4" t="s">
        <v>97</v>
      </c>
      <c r="I37" s="4" t="s">
        <v>789</v>
      </c>
      <c r="J37" s="4" t="s">
        <v>790</v>
      </c>
      <c r="K37" s="4" t="s">
        <v>791</v>
      </c>
      <c r="L37" s="4" t="s">
        <v>792</v>
      </c>
      <c r="M37" s="4" t="s">
        <v>793</v>
      </c>
      <c r="N37" s="4" t="s">
        <v>794</v>
      </c>
    </row>
    <row r="38" spans="1:14" ht="42.75">
      <c r="A38" s="4" t="s">
        <v>125</v>
      </c>
      <c r="B38" s="4" t="s">
        <v>85</v>
      </c>
      <c r="C38" s="4">
        <v>35</v>
      </c>
      <c r="D38" s="4" t="s">
        <v>316</v>
      </c>
      <c r="E38" s="4">
        <v>4</v>
      </c>
      <c r="F38" s="4">
        <v>33</v>
      </c>
      <c r="G38" s="4" t="s">
        <v>127</v>
      </c>
      <c r="H38" s="4" t="s">
        <v>97</v>
      </c>
      <c r="I38" s="4" t="s">
        <v>795</v>
      </c>
      <c r="J38" s="4" t="s">
        <v>796</v>
      </c>
      <c r="K38" s="4" t="s">
        <v>797</v>
      </c>
      <c r="L38" s="4" t="s">
        <v>798</v>
      </c>
      <c r="M38" s="4" t="s">
        <v>799</v>
      </c>
      <c r="N38" s="4" t="s">
        <v>800</v>
      </c>
    </row>
    <row r="39" spans="1:14" ht="42.75">
      <c r="A39" s="4" t="s">
        <v>125</v>
      </c>
      <c r="B39" s="4" t="s">
        <v>85</v>
      </c>
      <c r="C39" s="4">
        <v>36</v>
      </c>
      <c r="D39" s="4" t="s">
        <v>343</v>
      </c>
      <c r="E39" s="4">
        <v>1</v>
      </c>
      <c r="F39" s="4">
        <v>34</v>
      </c>
      <c r="G39" s="4" t="s">
        <v>127</v>
      </c>
      <c r="H39" s="4" t="s">
        <v>38</v>
      </c>
      <c r="I39" s="4" t="s">
        <v>801</v>
      </c>
      <c r="J39" s="4" t="s">
        <v>802</v>
      </c>
      <c r="K39" s="4" t="s">
        <v>803</v>
      </c>
      <c r="L39" s="4" t="s">
        <v>804</v>
      </c>
      <c r="M39" s="4" t="s">
        <v>805</v>
      </c>
      <c r="N39" s="4" t="s">
        <v>806</v>
      </c>
    </row>
    <row r="40" spans="1:14" ht="28.5">
      <c r="A40" s="4" t="s">
        <v>125</v>
      </c>
      <c r="B40" s="4" t="s">
        <v>85</v>
      </c>
      <c r="C40" s="4">
        <v>37</v>
      </c>
      <c r="D40" s="4" t="s">
        <v>343</v>
      </c>
      <c r="E40" s="4">
        <v>2</v>
      </c>
      <c r="F40" s="4">
        <v>35</v>
      </c>
      <c r="G40" s="4" t="s">
        <v>127</v>
      </c>
      <c r="H40" s="4" t="s">
        <v>38</v>
      </c>
      <c r="I40" s="4" t="s">
        <v>807</v>
      </c>
      <c r="J40" s="4" t="s">
        <v>808</v>
      </c>
      <c r="K40" s="4" t="s">
        <v>809</v>
      </c>
      <c r="L40" s="4" t="s">
        <v>810</v>
      </c>
      <c r="M40" s="4" t="s">
        <v>811</v>
      </c>
      <c r="N40" s="4" t="s">
        <v>812</v>
      </c>
    </row>
    <row r="41" spans="1:14" ht="42.75">
      <c r="A41" s="4" t="s">
        <v>125</v>
      </c>
      <c r="B41" s="4" t="s">
        <v>85</v>
      </c>
      <c r="C41" s="4">
        <v>38</v>
      </c>
      <c r="D41" s="4" t="s">
        <v>343</v>
      </c>
      <c r="E41" s="4">
        <v>3</v>
      </c>
      <c r="F41" s="4">
        <v>36</v>
      </c>
      <c r="G41" s="4" t="s">
        <v>127</v>
      </c>
      <c r="H41" s="4" t="s">
        <v>38</v>
      </c>
      <c r="I41" s="4" t="s">
        <v>813</v>
      </c>
      <c r="J41" s="4" t="s">
        <v>814</v>
      </c>
      <c r="K41" s="4" t="s">
        <v>815</v>
      </c>
      <c r="L41" s="4" t="s">
        <v>816</v>
      </c>
      <c r="M41" s="4" t="s">
        <v>817</v>
      </c>
      <c r="N41" s="4" t="s">
        <v>818</v>
      </c>
    </row>
    <row r="42" spans="1:14" ht="42.75">
      <c r="A42" s="4" t="s">
        <v>125</v>
      </c>
      <c r="B42" s="4" t="s">
        <v>85</v>
      </c>
      <c r="C42" s="4">
        <v>39</v>
      </c>
      <c r="D42" s="4" t="s">
        <v>343</v>
      </c>
      <c r="E42" s="4">
        <v>4</v>
      </c>
      <c r="F42" s="4">
        <v>37</v>
      </c>
      <c r="G42" s="4" t="s">
        <v>127</v>
      </c>
      <c r="H42" s="4" t="s">
        <v>38</v>
      </c>
      <c r="I42" s="4" t="s">
        <v>819</v>
      </c>
      <c r="J42" s="4" t="s">
        <v>820</v>
      </c>
      <c r="K42" s="4" t="s">
        <v>821</v>
      </c>
      <c r="L42" s="4" t="s">
        <v>822</v>
      </c>
      <c r="M42" s="4" t="s">
        <v>823</v>
      </c>
      <c r="N42" s="4" t="s">
        <v>824</v>
      </c>
    </row>
    <row r="43" spans="1:14" ht="42.75">
      <c r="A43" s="4" t="s">
        <v>125</v>
      </c>
      <c r="B43" s="4" t="s">
        <v>85</v>
      </c>
      <c r="C43" s="4">
        <v>40</v>
      </c>
      <c r="D43" s="4" t="s">
        <v>368</v>
      </c>
      <c r="E43" s="4">
        <v>1</v>
      </c>
      <c r="F43" s="4">
        <v>38</v>
      </c>
      <c r="G43" s="4" t="s">
        <v>127</v>
      </c>
      <c r="H43" s="4" t="s">
        <v>825</v>
      </c>
      <c r="I43" s="4" t="s">
        <v>826</v>
      </c>
      <c r="J43" s="4" t="s">
        <v>827</v>
      </c>
      <c r="K43" s="4" t="s">
        <v>828</v>
      </c>
      <c r="L43" s="4" t="s">
        <v>829</v>
      </c>
      <c r="M43" s="4" t="s">
        <v>830</v>
      </c>
      <c r="N43" s="4" t="s">
        <v>831</v>
      </c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Criterios</vt:lpstr>
      <vt:lpstr>Matriz de progresión</vt:lpstr>
      <vt:lpstr>Cronograma General</vt:lpstr>
      <vt:lpstr>Sala 3</vt:lpstr>
      <vt:lpstr>Sala 4</vt:lpstr>
      <vt:lpstr>Sala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Educacion</cp:lastModifiedBy>
  <dcterms:modified xsi:type="dcterms:W3CDTF">2026-06-08T20:56:23Z</dcterms:modified>
</cp:coreProperties>
</file>